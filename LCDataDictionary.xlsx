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WINDOWS 11\Downloads\"/>
    </mc:Choice>
  </mc:AlternateContent>
  <xr:revisionPtr revIDLastSave="0" documentId="13_ncr:1_{7992DCBB-6FE8-411A-9627-A6B96899D17A}" xr6:coauthVersionLast="47" xr6:coauthVersionMax="47" xr10:uidLastSave="{00000000-0000-0000-0000-000000000000}"/>
  <bookViews>
    <workbookView xWindow="-110" yWindow="-110" windowWidth="19420" windowHeight="10300" xr2:uid="{00000000-000D-0000-FFFF-FFFF00000000}"/>
  </bookViews>
  <sheets>
    <sheet name="LoanStats" sheetId="1" r:id="rId1"/>
    <sheet name="RejectStats" sheetId="2" r:id="rId2"/>
    <sheet name="browseNotes" sheetId="3" r:id="rId3"/>
    <sheet name="Sheet4" sheetId="4" r:id="rId4"/>
    <sheet name="Sheet3"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E+XR2KZaFZKO+tKHHfQPGIwD8hiKVp1md6TgUrJvawA="/>
    </ext>
  </extLst>
</workbook>
</file>

<file path=xl/calcChain.xml><?xml version="1.0" encoding="utf-8"?>
<calcChain xmlns="http://schemas.openxmlformats.org/spreadsheetml/2006/main">
  <c r="C107" i="3" l="1"/>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C10" i="2"/>
  <c r="C9" i="2"/>
  <c r="C8" i="2"/>
  <c r="C7" i="2"/>
  <c r="C6" i="2"/>
  <c r="C5" i="2"/>
  <c r="C4" i="2"/>
  <c r="C3" i="2"/>
  <c r="C2" i="2"/>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7" i="1"/>
  <c r="C5" i="1"/>
  <c r="C4" i="1"/>
  <c r="C3" i="1"/>
  <c r="C2" i="1"/>
</calcChain>
</file>

<file path=xl/sharedStrings.xml><?xml version="1.0" encoding="utf-8"?>
<sst xmlns="http://schemas.openxmlformats.org/spreadsheetml/2006/main" count="555" uniqueCount="360">
  <si>
    <t>Description</t>
  </si>
  <si>
    <t>_rec</t>
  </si>
  <si>
    <t>The total amount committed by investors for that loan at that point in time.</t>
  </si>
  <si>
    <t>acc_now_delinq</t>
  </si>
  <si>
    <t>The number of accounts on which the borrower is now delinquent.</t>
  </si>
  <si>
    <t>addr_state</t>
  </si>
  <si>
    <t>The state provided by the borrower in the loan application</t>
  </si>
  <si>
    <t>all_util</t>
  </si>
  <si>
    <t>Balance to credit limit on all trades</t>
  </si>
  <si>
    <t>annual_inc</t>
  </si>
  <si>
    <t>The self-reported annual income provided by the borrower during registration.</t>
  </si>
  <si>
    <t>v</t>
  </si>
  <si>
    <t>annual_inc_joint</t>
  </si>
  <si>
    <t>The combined self-reported annual income provided by the co-borrowers during registration</t>
  </si>
  <si>
    <t>application_type</t>
  </si>
  <si>
    <t>Indicates whether the loan is an individual application or a joint application with two co-borrowers</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</si>
  <si>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</si>
  <si>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</si>
  <si>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</si>
  <si>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</si>
  <si>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</si>
  <si>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</si>
  <si>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desc</t>
  </si>
  <si>
    <t>Loan description provided by the borrower</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</si>
  <si>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</si>
  <si>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</si>
  <si>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</si>
  <si>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</si>
  <si>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</si>
  <si>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</si>
  <si>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</si>
  <si>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</si>
  <si>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Femp</t>
  </si>
  <si>
    <t>A ratio calculated using the borrower’s total monthly debt payments on the total debt obligations, excluding mortgage and the requested LC loan, divided by the borrower’s self-reported monthly income.</t>
  </si>
  <si>
    <t>fico_range_high</t>
  </si>
  <si>
    <t>The upper boundary range the borrower’s FICO at loan origination belongs to.</t>
  </si>
  <si>
    <t>fico_range_low</t>
  </si>
  <si>
    <t>The lower boundary range the borrower’s FICO at loan origination belongs to.</t>
  </si>
  <si>
    <t>funded_amnt</t>
  </si>
  <si>
    <t>The total amount committed to that loan at that point in time.</t>
  </si>
  <si>
    <t>grade</t>
  </si>
  <si>
    <t>LC assigned loan grade</t>
  </si>
  <si>
    <t>home_ownership</t>
  </si>
  <si>
    <t>The home ownership status provided by the borrower during registration. Our values are: RENT, OWN, MORTGAGE, OTHER.</t>
  </si>
  <si>
    <t>id</t>
  </si>
  <si>
    <t>A unique LC assigned ID for the loan listing.</t>
  </si>
  <si>
    <t>il_util</t>
  </si>
  <si>
    <t>Ratio of total current balance to high credit/credit limit on all install acct</t>
  </si>
  <si>
    <t>initial_list_status</t>
  </si>
  <si>
    <r>
      <rPr>
        <sz val="11"/>
        <color theme="1"/>
        <rFont val="Calibri"/>
        <family val="2"/>
      </rPr>
      <t xml:space="preserve">The initial listing status of the loan. Possible values are – </t>
    </r>
    <r>
      <rPr>
        <b/>
        <i/>
        <sz val="11"/>
        <color theme="1"/>
        <rFont val="Calibri"/>
        <family val="2"/>
      </rPr>
      <t>W</t>
    </r>
    <r>
      <rPr>
        <sz val="11"/>
        <color theme="1"/>
        <rFont val="Calibri"/>
        <family val="2"/>
      </rPr>
      <t xml:space="preserve">hole, </t>
    </r>
    <r>
      <rPr>
        <b/>
        <i/>
        <sz val="11"/>
        <color theme="1"/>
        <rFont val="Calibri"/>
        <family val="2"/>
      </rPr>
      <t>F</t>
    </r>
    <r>
      <rPr>
        <sz val="11"/>
        <color theme="1"/>
        <rFont val="Calibri"/>
        <family val="2"/>
      </rPr>
      <t>ractional</t>
    </r>
  </si>
  <si>
    <t>inq_fi</t>
  </si>
  <si>
    <t>Number of personal finance inquiries</t>
  </si>
  <si>
    <t>inq_last_12m</t>
  </si>
  <si>
    <t>Number of credit inquiries in past 12 months</t>
  </si>
  <si>
    <t>inq_last_6mths</t>
  </si>
  <si>
    <t>The number of inquiries in past 6 months (excluding auto and mortgage inquiries)</t>
  </si>
  <si>
    <t>installment</t>
  </si>
  <si>
    <t>The monthly payment owed by the borrower if the loan originates.</t>
  </si>
  <si>
    <t>int_rate</t>
  </si>
  <si>
    <t>Indicates if income was verified by LC, not verified, or if the income source was verified</t>
  </si>
  <si>
    <t>is_inc_v</t>
  </si>
  <si>
    <t>issue_d</t>
  </si>
  <si>
    <t>The month which the loan was funded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</si>
  <si>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</si>
  <si>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</si>
  <si>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</si>
  <si>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</si>
  <si>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</si>
  <si>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</si>
  <si>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</si>
  <si>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</si>
  <si>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</si>
  <si>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</si>
  <si>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loan_status</t>
  </si>
  <si>
    <t>Current status of the loan</t>
  </si>
  <si>
    <t>max_bal_bc</t>
  </si>
  <si>
    <t>Maximum current balance owed on all revolving accounts</t>
  </si>
  <si>
    <t>member_id</t>
  </si>
  <si>
    <t>A unique LC assigned Id for the borrower member.</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</si>
  <si>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</si>
  <si>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</si>
  <si>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</si>
  <si>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</si>
  <si>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</si>
  <si>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</si>
  <si>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mths_since_rcnt_il</t>
  </si>
  <si>
    <t>Months since most recent installment accounts opened</t>
  </si>
  <si>
    <t>next_pymnt_d</t>
  </si>
  <si>
    <t>Next scheduled payment date</t>
  </si>
  <si>
    <t>open_acc</t>
  </si>
  <si>
    <t>The number of open credit lines in the borrower's credit file.</t>
  </si>
  <si>
    <t>open_acc_6m</t>
  </si>
  <si>
    <t>Number of open trades in last 6 months</t>
  </si>
  <si>
    <t>open_il_12m</t>
  </si>
  <si>
    <t>open_il_24m</t>
  </si>
  <si>
    <t>Number of installment accounts opened in past 24 months</t>
  </si>
  <si>
    <t>open_il_6m</t>
  </si>
  <si>
    <t>Number of installment accounts opened in past 12 months</t>
  </si>
  <si>
    <t>open_rv_12m</t>
  </si>
  <si>
    <t>Number of revolving trades opened in past 12 months</t>
  </si>
  <si>
    <t>open_rv_24m</t>
  </si>
  <si>
    <t>Number of revolving trades opened in past 24 months</t>
  </si>
  <si>
    <t>out_prncp</t>
  </si>
  <si>
    <t>Remaining outstanding principal for total amount funded</t>
  </si>
  <si>
    <t>out_prncp_inv</t>
  </si>
  <si>
    <t>Remaining outstanding principal for portion of total amount funded by investors</t>
  </si>
  <si>
    <t>policy_code</t>
  </si>
  <si>
    <t>publicly available policy_code=1
new products not publicly available policy_code=2</t>
  </si>
  <si>
    <t>pub_rec</t>
  </si>
  <si>
    <t>Number of derogatory public records</t>
  </si>
  <si>
    <t>purpose</t>
  </si>
  <si>
    <t xml:space="preserve">A category provided by the borrower for the loan request. </t>
  </si>
  <si>
    <t>Indicates if a payment plan has been put in place for the loan</t>
  </si>
  <si>
    <t>recoveries</t>
  </si>
  <si>
    <t>revol_bal</t>
  </si>
  <si>
    <t>Total credit revolving balance</t>
  </si>
  <si>
    <t>revol_util</t>
  </si>
  <si>
    <t xml:space="preserve">Revolving line utilization rate, or the amount of credit the borrower is using relative to all available revolving credit.        </t>
  </si>
  <si>
    <t>sub_grade</t>
  </si>
  <si>
    <t>LC assigned loan subgrade</t>
  </si>
  <si>
    <t>term</t>
  </si>
  <si>
    <t>The number of payments on the loan. Values are in months and can be either 36 or 60.</t>
  </si>
  <si>
    <t>title</t>
  </si>
  <si>
    <t>The loan title provided by the borrower</t>
  </si>
  <si>
    <t>tot_coll_amt</t>
  </si>
  <si>
    <t>Total collection amounts ever owed</t>
  </si>
  <si>
    <t>tot_cur_bal</t>
  </si>
  <si>
    <t>Total current balance of all accounts</t>
  </si>
  <si>
    <t>total_acc</t>
  </si>
  <si>
    <t>The total number of credit lines currently in the borrower's credit file</t>
  </si>
  <si>
    <t>total_bal_il</t>
  </si>
  <si>
    <t>Total current balance of all installment accounts</t>
  </si>
  <si>
    <t>total_cu_tl</t>
  </si>
  <si>
    <t>Number of finance trades</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</si>
  <si>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</si>
  <si>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</si>
  <si>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</si>
  <si>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</si>
  <si>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</si>
  <si>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</si>
  <si>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</si>
  <si>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</si>
  <si>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</si>
  <si>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</si>
  <si>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total_rev_hi_lim  </t>
  </si>
  <si>
    <t>Total revolving high credit/credit limit</t>
  </si>
  <si>
    <t>url</t>
  </si>
  <si>
    <t>URL for the LC page with listing data.</t>
  </si>
  <si>
    <t>verified_status_joint</t>
  </si>
  <si>
    <t>Indicates if the co-borrowers' joint income was verified by LC, not verified, or if the income source was verified</t>
  </si>
  <si>
    <t>zip_code</t>
  </si>
  <si>
    <t>The first 3 numbers of the zip code provided by the borrower in the loan application.</t>
  </si>
  <si>
    <t>* Employer Title replaces Employer Name for all loans listed after 9/23/2013</t>
  </si>
  <si>
    <t>IDE701782189883</t>
  </si>
  <si>
    <t>RejectStats File</t>
  </si>
  <si>
    <t>Amount Requested</t>
  </si>
  <si>
    <t>The total amount requested by the borrower</t>
  </si>
  <si>
    <t>Application Date</t>
  </si>
  <si>
    <t xml:space="preserve">The date which the borrower applied </t>
  </si>
  <si>
    <t>Loan Title</t>
  </si>
  <si>
    <t>Risk_Score</t>
  </si>
  <si>
    <t>For applications prior to November 5, 2013 the risk score is the borrower's FICO score. For applications after November 5, 2013 the risk score is the borrower's Vantage score.</t>
  </si>
  <si>
    <t>Debt-To-Income Ratio</t>
  </si>
  <si>
    <t>Zip Code</t>
  </si>
  <si>
    <t>State</t>
  </si>
  <si>
    <t>Employment Length</t>
  </si>
  <si>
    <t>Employment length in years. Possible values are between 0 and 10 where 0 means less than one year and 10 means ten or more years.</t>
  </si>
  <si>
    <t>Policy Code</t>
  </si>
  <si>
    <t>acceptD</t>
  </si>
  <si>
    <t>The date which the borrower accepted  the offer</t>
  </si>
  <si>
    <t>accNowDelinq</t>
  </si>
  <si>
    <t>accOpenPast24Mths</t>
  </si>
  <si>
    <t>Number of trades opened in past 24 months.</t>
  </si>
  <si>
    <t>addrState</t>
  </si>
  <si>
    <t>annualInc</t>
  </si>
  <si>
    <t>avg_cur_bal</t>
  </si>
  <si>
    <t>Average current balance of all accounts</t>
  </si>
  <si>
    <t>bcOpenToBuy</t>
  </si>
  <si>
    <t>Total open to buy on revolving bankcards.</t>
  </si>
  <si>
    <t>bcUtil</t>
  </si>
  <si>
    <t>Ratio of total current balance to high credit/credit limit for all bankcard accounts.</t>
  </si>
  <si>
    <t>chargeoff_within_12_mths</t>
  </si>
  <si>
    <t>Number of charge-offs within 12 months</t>
  </si>
  <si>
    <t>creditPullD</t>
  </si>
  <si>
    <t>The date LC pulled credit for this loan</t>
  </si>
  <si>
    <t>delinq2Yrs</t>
  </si>
  <si>
    <t>delinqAmnt</t>
  </si>
  <si>
    <t>The past-due amount owed for the accounts on which the borrower is now delinquent.</t>
  </si>
  <si>
    <t>dti</t>
  </si>
  <si>
    <t>earliestCrLine</t>
  </si>
  <si>
    <t>The date the borrower's earliest reported credit line was opened</t>
  </si>
  <si>
    <t>effective_int_rate</t>
  </si>
  <si>
    <t>The effective interest rate is equal to the interest rate on a Note reduced by Lending Club's estimate of the impact of uncollected interest prior to charge off. </t>
  </si>
  <si>
    <t>empLength</t>
  </si>
  <si>
    <t>expD</t>
  </si>
  <si>
    <t>The date the listing will expire</t>
  </si>
  <si>
    <t>expDefaultRate</t>
  </si>
  <si>
    <t>The expected default rate of the loan.</t>
  </si>
  <si>
    <t>ficoRangeHigh</t>
  </si>
  <si>
    <t>ficoRangeLow</t>
  </si>
  <si>
    <t>fundedAmnt</t>
  </si>
  <si>
    <t>homeOwnership</t>
  </si>
  <si>
    <t>ils_exp_d</t>
  </si>
  <si>
    <t>wholeloan platform expiration date</t>
  </si>
  <si>
    <t>initialListStatus</t>
  </si>
  <si>
    <t>The initial listing status of the loan. Possible values are – W, F</t>
  </si>
  <si>
    <t>inqLast6Mths</t>
  </si>
  <si>
    <t>intRate</t>
  </si>
  <si>
    <t>Interest Rate on the loan</t>
  </si>
  <si>
    <t>isIncV</t>
  </si>
  <si>
    <t>listD</t>
  </si>
  <si>
    <t>The date which the borrower's application was listed on the platform.</t>
  </si>
  <si>
    <t>loanAmnt</t>
  </si>
  <si>
    <t>The listed amount of the loan applied for by the borrower. If at some point in time, the credit department reduces the loan amount, then it will be reflected in this value.</t>
  </si>
  <si>
    <t>memberId</t>
  </si>
  <si>
    <t>mo_sin_old_rev_tl_op</t>
  </si>
  <si>
    <t>Months since oldest revolving account opened</t>
  </si>
  <si>
    <t>mo_sin_rcnt_rev_tl_op</t>
  </si>
  <si>
    <t>Months since most recent revolving account opened</t>
  </si>
  <si>
    <t>mo_sin_rcnt_tl</t>
  </si>
  <si>
    <t>Months since most recent account opened</t>
  </si>
  <si>
    <t>mortAcc</t>
  </si>
  <si>
    <t>Number of mortgage accounts.</t>
  </si>
  <si>
    <t>msa</t>
  </si>
  <si>
    <t>Metropolitan Statistical Area of the borrower.</t>
  </si>
  <si>
    <t>mths_since_oldest_il_open</t>
  </si>
  <si>
    <t>Months since oldest bank installment account opened</t>
  </si>
  <si>
    <t>mthsSinceLastDelinq</t>
  </si>
  <si>
    <t>mthsSinceLastRecord</t>
  </si>
  <si>
    <t>mthsSinceMostRecentInq</t>
  </si>
  <si>
    <t>Months since most recent inquiry.</t>
  </si>
  <si>
    <t>mthsSinceRecentBc</t>
  </si>
  <si>
    <t>Months since most recent bankcard account opened.</t>
  </si>
  <si>
    <t>mthsSinceRecentLoanDelinq</t>
  </si>
  <si>
    <t>Months since most recent personal finance delinquency.</t>
  </si>
  <si>
    <t>mthsSinceRecentRevolDelinq</t>
  </si>
  <si>
    <t>Months since most recent revolving delinquency.</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</si>
  <si>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</si>
  <si>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</si>
  <si>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</si>
  <si>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</si>
  <si>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</si>
  <si>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</si>
  <si>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</si>
  <si>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</si>
  <si>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</si>
  <si>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</si>
  <si>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</si>
  <si>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</si>
  <si>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</si>
  <si>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</si>
  <si>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</si>
  <si>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</si>
  <si>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</si>
  <si>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</si>
  <si>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</si>
  <si>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</si>
  <si>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</si>
  <si>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</si>
  <si>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</si>
  <si>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</si>
  <si>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</si>
  <si>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</si>
  <si>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</si>
  <si>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</si>
  <si>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Number of currently active installment trades</t>
  </si>
  <si>
    <t>openAcc</t>
  </si>
  <si>
    <t>pct_tl_nvr_dlq</t>
  </si>
  <si>
    <t>Percent of trades never delinquent</t>
  </si>
  <si>
    <t>percentBcGt75</t>
  </si>
  <si>
    <t>Percentage of all bankcard accounts &gt; 75% of limit.</t>
  </si>
  <si>
    <t>pub_rec_bankruptcies</t>
  </si>
  <si>
    <t>Number of public record bankruptcies</t>
  </si>
  <si>
    <t>pubRec</t>
  </si>
  <si>
    <t>reviewStatus</t>
  </si>
  <si>
    <t>The status of the loan during the listing period. Values: APPROVED, NOT_APPROVED.</t>
  </si>
  <si>
    <t>reviewStatusD</t>
  </si>
  <si>
    <t>The date the loan application was reviewed by LC</t>
  </si>
  <si>
    <t>revolBal</t>
  </si>
  <si>
    <t>revolUtil</t>
  </si>
  <si>
    <t>Revolving line utilization rate, or the amount of credit the borrower is using relative to all available revolving credit.</t>
  </si>
  <si>
    <t>serviceFeeRate</t>
  </si>
  <si>
    <t>Service fee rate paid by the investor for this loan.</t>
  </si>
  <si>
    <t>subGrade</t>
  </si>
  <si>
    <t>tax_liens</t>
  </si>
  <si>
    <t>Number of tax liens</t>
  </si>
  <si>
    <t>tot_hi_cred_lim</t>
  </si>
  <si>
    <t>Total high credit/credit limit</t>
  </si>
  <si>
    <t>total_cu_t</t>
  </si>
  <si>
    <t>total_il_high_credit_limit</t>
  </si>
  <si>
    <t>Total installment high credit/credit limit</t>
  </si>
  <si>
    <t>totalAcc</t>
  </si>
  <si>
    <t>totalBalExMort</t>
  </si>
  <si>
    <t>Total credit balance excluding mortgage</t>
  </si>
  <si>
    <t>totalBcLimit</t>
  </si>
  <si>
    <t>Total bankcard high credit/credit limit</t>
  </si>
  <si>
    <t>id unik LC untuk setiap anggota peminjam</t>
  </si>
  <si>
    <t>loan_amn</t>
  </si>
  <si>
    <t>pembayaran yang diterima bulan lalu</t>
  </si>
  <si>
    <t>komitment total pembayaran setiap bulannya</t>
  </si>
  <si>
    <t>funded_amnt_inv</t>
  </si>
  <si>
    <t>?</t>
  </si>
  <si>
    <t>berapa bulan ia meminjam</t>
  </si>
  <si>
    <t>tingkat rating verified LC</t>
  </si>
  <si>
    <t>pekerjaan member</t>
  </si>
  <si>
    <t>lama bekerja</t>
  </si>
  <si>
    <t>status tempat tinggal</t>
  </si>
  <si>
    <t>penghasilan tahunan</t>
  </si>
  <si>
    <t>verification_status</t>
  </si>
  <si>
    <t>apakah status sudah di verifikasi</t>
  </si>
  <si>
    <t>bulan didanainya pinjaman</t>
  </si>
  <si>
    <t>status pinjaman saat ini</t>
  </si>
  <si>
    <t>pymnt_plan</t>
  </si>
  <si>
    <t>perencanaan pembayaran</t>
  </si>
  <si>
    <t>web id direc</t>
  </si>
  <si>
    <t>descripsi alasann peminjaman</t>
  </si>
  <si>
    <t>kategori peminjaman</t>
  </si>
  <si>
    <t>judul pinjaman</t>
  </si>
  <si>
    <t>kode pos</t>
  </si>
  <si>
    <t>alamat negara</t>
  </si>
  <si>
    <t>jumblah pemeriksaan credit dalam 6 bulan</t>
  </si>
  <si>
    <t>jumblah pelanggaran sejak terakhir peminjam</t>
  </si>
  <si>
    <t>derogatory (menghina ) public record</t>
  </si>
  <si>
    <t>Total saldo credit yang berputar</t>
  </si>
  <si>
    <t>jumblah brp x credit yang dipinjam dalam file credit</t>
  </si>
  <si>
    <t>status awal peminjam</t>
  </si>
  <si>
    <t>Sisa pokok pinjaman untuk jumlah total yang didanai</t>
  </si>
  <si>
    <t>Sisa pokok pinjaman untuk sebagian dari jumlah total yang didanai oleh investor</t>
  </si>
  <si>
    <t>Pembayaran diterima hingga saat ini untuk jumlah total yang didanai</t>
  </si>
  <si>
    <t>Pembayaran yang diterima hingga saat ini untuk sebagian dari jumlah total yang didanai oleh investor</t>
  </si>
  <si>
    <t>modal yang diterima hingga saat ini</t>
  </si>
  <si>
    <t>bunga yg diterima hingga saat ini</t>
  </si>
  <si>
    <t>biaya keterlambatan yg diterima hingga saat ini</t>
  </si>
  <si>
    <t>Menunjukkan jika rencana pembayaran telah dibuat untuk pinjaman</t>
  </si>
  <si>
    <t>biaya pengumpulan dari  biaya penagihan</t>
  </si>
  <si>
    <t>Jumlah total pembayaran terakhir yang diterima</t>
  </si>
  <si>
    <t>last_credit_pull_d</t>
  </si>
  <si>
    <t>kapan hari terakhir LC menge'check' credit history</t>
  </si>
  <si>
    <t>Bulan sejak peringkat 90 hari terakhir atau lebih buruk</t>
  </si>
  <si>
    <t>policy_code=1 . tersedia untuk umum
produk baru tidak tersedia untuk umum policy_code=2</t>
  </si>
  <si>
    <t>Gabungan pendapatan tahunan yang dilaporkan sendiri yang disediakan oleh peminjam bersama selama pendaftaran</t>
  </si>
  <si>
    <t>dti_join</t>
  </si>
  <si>
    <t>Rasio yang dihitung menggunakan total pembayaran bulanan rekan peminjam atas total kewajiban utang, tidak termasuk hipotek dan pinjaman LC yang diminta, dibagi dengan pendapatan bulanan gabungan yang dilaporkan sendiri oleh peminjam bersama</t>
  </si>
  <si>
    <t>verification_status_join</t>
  </si>
  <si>
    <t>Menunjukkan jika pendapatan bersama peminjam telah diverifikasi oleh LC, tidak diverifikasi, atau jika sumber pendapatan diverifikasi</t>
  </si>
  <si>
    <t>acc_now_deilnq</t>
  </si>
  <si>
    <t>Jumlah rekening di mana peminjam sekarang menunggak.</t>
  </si>
  <si>
    <t>Jumlah total pengumpulan yang pernah ada</t>
  </si>
  <si>
    <t>total saldo saat ini dari semua akun</t>
  </si>
  <si>
    <t>Number of installment accounts opened in past 6 months</t>
  </si>
  <si>
    <t>Total saldo saat ini dari semua akun angsuran</t>
  </si>
  <si>
    <t>Rasio total saldo saat ini terhadap kredit/batas kredit yang tinggi pada semua akun pemasangan</t>
  </si>
  <si>
    <t>Jumlah perdagangan bergulir yang dibuka dalam 24 bulan terakhir</t>
  </si>
  <si>
    <t>Saldo maksimum saat ini terutang pada semua akun bergulir</t>
  </si>
  <si>
    <t>Saldo ke batas kredit pada semua perdagangan</t>
  </si>
  <si>
    <t>total_rev_hi_lim</t>
  </si>
  <si>
    <t>Total kredit / batas kredit tinggi bergulir</t>
  </si>
  <si>
    <t>Jumlah pertanyaan keuangan pribadi</t>
  </si>
  <si>
    <t>Jumlah perdagangan keuangan</t>
  </si>
  <si>
    <t>Jumlah pertanyaan kredit dalam 12 bulan terakhir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</si>
</sst>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1"/>
      <color theme="1"/>
      <name val="Calibri"/>
      <scheme val="minor"/>
    </font>
    <font>
      <b/>
      <sz val="12"/>
      <color rgb="FFFFFFFF"/>
      <name val="Calibri"/>
      <family val="2"/>
    </font>
    <font>
      <sz val="11"/>
      <color theme="1"/>
      <name val="Calibri"/>
      <family val="2"/>
    </font>
    <font>
      <sz val="11"/>
      <color rgb="FF000000"/>
      <name val="Inconsolata"/>
    </font>
    <font>
      <b/>
      <sz val="11"/>
      <color rgb="FF000000"/>
      <name val="Inconsolata"/>
    </font>
    <font>
      <sz val="11"/>
      <color theme="1"/>
      <name val="Calibri"/>
      <family val="2"/>
      <scheme val="minor"/>
    </font>
    <font>
      <sz val="11"/>
      <color theme="1"/>
      <name val="Inconsolata"/>
    </font>
    <font>
      <sz val="11"/>
      <color theme="1"/>
      <name val="Libre Barcode 39"/>
    </font>
    <font>
      <sz val="11"/>
      <color rgb="FF000000"/>
      <name val="Libre Barcode 39"/>
    </font>
    <font>
      <b/>
      <sz val="11"/>
      <color rgb="FFFFFFFF"/>
      <name val="Calibri"/>
      <family val="2"/>
    </font>
    <font>
      <b/>
      <sz val="11"/>
      <color theme="0"/>
      <name val="Calibri"/>
      <family val="2"/>
    </font>
    <font>
      <b/>
      <sz val="12"/>
      <color theme="0"/>
      <name val="Calibri"/>
      <family val="2"/>
    </font>
    <font>
      <sz val="11"/>
      <color rgb="FF222222"/>
      <name val="Calibri"/>
      <family val="2"/>
    </font>
    <font>
      <sz val="11"/>
      <color rgb="FF000000"/>
      <name val="Calibri"/>
      <family val="2"/>
    </font>
    <font>
      <sz val="11"/>
      <color rgb="FF000000"/>
      <name val="Roboto"/>
    </font>
    <font>
      <b/>
      <i/>
      <sz val="11"/>
      <color theme="1"/>
      <name val="Calibri"/>
      <family val="2"/>
    </font>
  </fonts>
  <fills count="10">
    <fill>
      <patternFill patternType="none"/>
    </fill>
    <fill>
      <patternFill patternType="gray125"/>
    </fill>
    <fill>
      <patternFill patternType="solid">
        <fgColor rgb="FF244061"/>
        <bgColor rgb="FF244061"/>
      </patternFill>
    </fill>
    <fill>
      <patternFill patternType="solid">
        <fgColor rgb="FFFFE599"/>
        <bgColor rgb="FFFFE599"/>
      </patternFill>
    </fill>
    <fill>
      <patternFill patternType="solid">
        <fgColor rgb="FFFFFFFF"/>
        <bgColor rgb="FFFFFFFF"/>
      </patternFill>
    </fill>
    <fill>
      <patternFill patternType="solid">
        <fgColor rgb="FFFF0000"/>
        <bgColor rgb="FFFF0000"/>
      </patternFill>
    </fill>
    <fill>
      <patternFill patternType="solid">
        <fgColor theme="6"/>
        <bgColor theme="6"/>
      </patternFill>
    </fill>
    <fill>
      <patternFill patternType="solid">
        <fgColor theme="4"/>
        <bgColor theme="4"/>
      </patternFill>
    </fill>
    <fill>
      <patternFill patternType="solid">
        <fgColor rgb="FF00FFFF"/>
        <bgColor rgb="FF00FFFF"/>
      </patternFill>
    </fill>
    <fill>
      <patternFill patternType="solid">
        <fgColor theme="0"/>
        <bgColor theme="0"/>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2" borderId="1" xfId="0" applyFont="1" applyFill="1" applyBorder="1" applyAlignment="1">
      <alignment wrapText="1"/>
    </xf>
    <xf numFmtId="0" fontId="2" fillId="3" borderId="2" xfId="0" applyFont="1" applyFill="1" applyBorder="1" applyAlignment="1">
      <alignment horizontal="center"/>
    </xf>
    <xf numFmtId="0" fontId="2" fillId="0" borderId="2" xfId="0" applyFont="1" applyBorder="1" applyAlignment="1">
      <alignment wrapText="1"/>
    </xf>
    <xf numFmtId="0" fontId="3" fillId="4" borderId="0" xfId="0" applyFont="1" applyFill="1" applyAlignment="1">
      <alignment wrapText="1"/>
    </xf>
    <xf numFmtId="0" fontId="2" fillId="0" borderId="2" xfId="0" applyFont="1" applyBorder="1" applyAlignment="1">
      <alignment horizontal="center"/>
    </xf>
    <xf numFmtId="0" fontId="2" fillId="5" borderId="2" xfId="0" applyFont="1" applyFill="1" applyBorder="1" applyAlignment="1">
      <alignment horizontal="center"/>
    </xf>
    <xf numFmtId="0" fontId="2" fillId="6" borderId="2" xfId="0" applyFont="1" applyFill="1" applyBorder="1" applyAlignment="1">
      <alignment horizontal="center"/>
    </xf>
    <xf numFmtId="0" fontId="2" fillId="7" borderId="2" xfId="0" applyFont="1" applyFill="1" applyBorder="1" applyAlignment="1">
      <alignment horizontal="center"/>
    </xf>
    <xf numFmtId="0" fontId="2" fillId="7" borderId="2" xfId="0" applyFont="1" applyFill="1" applyBorder="1" applyAlignment="1">
      <alignment wrapText="1"/>
    </xf>
    <xf numFmtId="0" fontId="4" fillId="7" borderId="0" xfId="0" applyFont="1" applyFill="1" applyAlignment="1">
      <alignment wrapText="1"/>
    </xf>
    <xf numFmtId="0" fontId="2" fillId="0" borderId="0" xfId="0" applyFont="1" applyAlignment="1">
      <alignment wrapText="1"/>
    </xf>
    <xf numFmtId="0" fontId="5" fillId="0" borderId="2" xfId="0" applyFont="1" applyBorder="1"/>
    <xf numFmtId="0" fontId="2" fillId="4" borderId="2" xfId="0" applyFont="1" applyFill="1" applyBorder="1" applyAlignment="1">
      <alignment horizontal="center"/>
    </xf>
    <xf numFmtId="0" fontId="2" fillId="4" borderId="2" xfId="0" applyFont="1" applyFill="1" applyBorder="1" applyAlignment="1">
      <alignment wrapText="1"/>
    </xf>
    <xf numFmtId="0" fontId="2" fillId="8" borderId="2" xfId="0" applyFont="1" applyFill="1" applyBorder="1" applyAlignment="1">
      <alignment horizontal="center"/>
    </xf>
    <xf numFmtId="0" fontId="2" fillId="8" borderId="2" xfId="0" applyFont="1" applyFill="1" applyBorder="1" applyAlignment="1">
      <alignment wrapText="1"/>
    </xf>
    <xf numFmtId="0" fontId="6" fillId="8" borderId="0" xfId="0" applyFont="1" applyFill="1" applyAlignment="1">
      <alignment wrapText="1"/>
    </xf>
    <xf numFmtId="0" fontId="3" fillId="8" borderId="0" xfId="0" applyFont="1" applyFill="1" applyAlignment="1">
      <alignment wrapText="1"/>
    </xf>
    <xf numFmtId="0" fontId="2" fillId="9" borderId="2" xfId="0" applyFont="1" applyFill="1" applyBorder="1" applyAlignment="1">
      <alignment horizontal="center"/>
    </xf>
    <xf numFmtId="0" fontId="5" fillId="0" borderId="0" xfId="0" applyFont="1" applyAlignment="1">
      <alignment horizontal="center"/>
    </xf>
    <xf numFmtId="0" fontId="5" fillId="0" borderId="0" xfId="0" applyFont="1" applyAlignment="1">
      <alignment wrapText="1"/>
    </xf>
    <xf numFmtId="0" fontId="3" fillId="4" borderId="0" xfId="0" applyFont="1" applyFill="1"/>
    <xf numFmtId="0" fontId="7" fillId="0" borderId="0" xfId="0" applyFont="1" applyAlignment="1">
      <alignment horizontal="center"/>
    </xf>
    <xf numFmtId="0" fontId="8" fillId="0" borderId="0" xfId="0" applyFont="1"/>
    <xf numFmtId="0" fontId="9" fillId="2" borderId="2" xfId="0" applyFont="1" applyFill="1" applyBorder="1"/>
    <xf numFmtId="0" fontId="10" fillId="2" borderId="2" xfId="0" applyFont="1" applyFill="1" applyBorder="1"/>
    <xf numFmtId="0" fontId="10" fillId="2" borderId="0" xfId="0" applyFont="1" applyFill="1"/>
    <xf numFmtId="0" fontId="2" fillId="0" borderId="2" xfId="0" applyFont="1" applyBorder="1"/>
    <xf numFmtId="0" fontId="5" fillId="0" borderId="2" xfId="0" applyFont="1" applyBorder="1" applyAlignment="1">
      <alignment wrapText="1"/>
    </xf>
    <xf numFmtId="0" fontId="2" fillId="0" borderId="0" xfId="0" applyFont="1"/>
    <xf numFmtId="0" fontId="11" fillId="2" borderId="2" xfId="0" applyFont="1" applyFill="1" applyBorder="1" applyAlignment="1">
      <alignment wrapText="1"/>
    </xf>
    <xf numFmtId="0" fontId="2" fillId="0" borderId="3" xfId="0" applyFont="1" applyBorder="1" applyAlignment="1">
      <alignment wrapText="1"/>
    </xf>
    <xf numFmtId="0" fontId="12" fillId="0" borderId="2" xfId="0" applyFont="1" applyBorder="1" applyAlignment="1">
      <alignment wrapText="1"/>
    </xf>
    <xf numFmtId="0" fontId="5" fillId="8" borderId="0" xfId="0" applyFont="1" applyFill="1" applyAlignment="1">
      <alignment wrapText="1"/>
    </xf>
    <xf numFmtId="0" fontId="13" fillId="0" borderId="2" xfId="0" applyFont="1" applyBorder="1" applyAlignment="1">
      <alignment wrapText="1"/>
    </xf>
    <xf numFmtId="0" fontId="5" fillId="0" borderId="0" xfId="0" applyFont="1"/>
    <xf numFmtId="0" fontId="5" fillId="0" borderId="0" xfId="0" quotePrefix="1" applyFont="1"/>
    <xf numFmtId="0" fontId="14" fillId="4" borderId="0" xfId="0" applyFont="1" applyFill="1"/>
    <xf numFmtId="0" fontId="1" fillId="2" borderId="1" xfId="0" applyFont="1" applyFill="1" applyBorder="1" applyAlignment="1">
      <alignment horizontal="center" wrapText="1"/>
    </xf>
  </cellXfs>
  <cellStyles count="1">
    <cellStyle name="Normal" xfId="0" builtinId="0"/>
  </cellStyles>
  <dxfs count="3">
    <dxf>
      <fill>
        <patternFill patternType="solid">
          <fgColor rgb="FFE0F7FA"/>
          <bgColor rgb="FFE0F7FA"/>
        </patternFill>
      </fill>
    </dxf>
    <dxf>
      <fill>
        <patternFill patternType="solid">
          <fgColor rgb="FFFFFFFF"/>
          <bgColor rgb="FFFFFFFF"/>
        </patternFill>
      </fill>
    </dxf>
    <dxf>
      <fill>
        <patternFill patternType="solid">
          <fgColor rgb="FF4DD0E1"/>
          <bgColor rgb="FF4DD0E1"/>
        </patternFill>
      </fill>
    </dxf>
  </dxfs>
  <tableStyles count="1">
    <tableStyle name="browseNote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C1109">
  <tableColumns count="3">
    <tableColumn id="1" xr3:uid="{00000000-0010-0000-0000-000001000000}" name="acceptD"/>
    <tableColumn id="2" xr3:uid="{00000000-0010-0000-0000-000002000000}" name="The date which the borrower accepted  the offer"/>
    <tableColumn id="3" xr3:uid="{00000000-0010-0000-0000-000003000000}" name="Tanggal di mana peminjam menerima tawaran itu"/>
  </tableColumns>
  <tableStyleInfo name="browseNo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081"/>
  <sheetViews>
    <sheetView tabSelected="1" topLeftCell="A69" workbookViewId="0">
      <pane xSplit="2" topLeftCell="C1" activePane="topRight" state="frozen"/>
      <selection pane="topRight" activeCell="A78" sqref="A78"/>
    </sheetView>
  </sheetViews>
  <sheetFormatPr defaultColWidth="14.453125" defaultRowHeight="15" customHeight="1" x14ac:dyDescent="0.35"/>
  <cols>
    <col min="1" max="1" width="31.81640625" customWidth="1"/>
    <col min="2" max="2" width="20.08984375" customWidth="1"/>
    <col min="3" max="3" width="159.54296875" customWidth="1"/>
  </cols>
  <sheetData>
    <row r="1" spans="1:3" ht="14.25" customHeight="1" x14ac:dyDescent="0.35">
      <c r="A1" s="39"/>
      <c r="B1" s="1" t="s">
        <v>0</v>
      </c>
    </row>
    <row r="2" spans="1:3" ht="14.25" customHeight="1" x14ac:dyDescent="0.55000000000000004">
      <c r="A2" s="2" t="s">
        <v>1</v>
      </c>
      <c r="B2" s="3" t="s">
        <v>2</v>
      </c>
      <c r="C2" s="4" t="str">
        <f ca="1">IFERROR(__xludf.DUMMYFUNCTION("GOOGLETRANSLATE(B2,""en"",""id"")"),"Jumlah total yang dilakukan oleh investor untuk pinjaman itu pada saat itu.")</f>
        <v>Jumlah total yang dilakukan oleh investor untuk pinjaman itu pada saat itu.</v>
      </c>
    </row>
    <row r="3" spans="1:3" ht="14.25" customHeight="1" x14ac:dyDescent="0.55000000000000004">
      <c r="A3" s="5" t="s">
        <v>3</v>
      </c>
      <c r="B3" s="3" t="s">
        <v>4</v>
      </c>
      <c r="C3" s="4" t="str">
        <f ca="1">IFERROR(__xludf.DUMMYFUNCTION("GOOGLETRANSLATE(B3,""en"",""id"")"),"Jumlah akun di mana peminjam sekarang nakal.")</f>
        <v>Jumlah akun di mana peminjam sekarang nakal.</v>
      </c>
    </row>
    <row r="4" spans="1:3" ht="14.25" customHeight="1" x14ac:dyDescent="0.55000000000000004">
      <c r="A4" s="6" t="s">
        <v>5</v>
      </c>
      <c r="B4" s="3" t="s">
        <v>6</v>
      </c>
      <c r="C4" s="4" t="str">
        <f ca="1">IFERROR(__xludf.DUMMYFUNCTION("GOOGLETRANSLATE(B4,""en"",""id"")"),"Negara yang disediakan oleh peminjam dalam aplikasi pinjaman")</f>
        <v>Negara yang disediakan oleh peminjam dalam aplikasi pinjaman</v>
      </c>
    </row>
    <row r="5" spans="1:3" ht="14.25" customHeight="1" x14ac:dyDescent="0.55000000000000004">
      <c r="A5" s="5" t="s">
        <v>7</v>
      </c>
      <c r="B5" s="3" t="s">
        <v>8</v>
      </c>
      <c r="C5" s="4" t="str">
        <f ca="1">IFERROR(__xludf.DUMMYFUNCTION("GOOGLETRANSLATE(B5,""en"",""id"")"),"Saldo ke batas kredit untuk semua perdagangan")</f>
        <v>Saldo ke batas kredit untuk semua perdagangan</v>
      </c>
    </row>
    <row r="6" spans="1:3" ht="14.25" customHeight="1" x14ac:dyDescent="0.55000000000000004">
      <c r="A6" s="2" t="s">
        <v>9</v>
      </c>
      <c r="B6" s="3" t="s">
        <v>10</v>
      </c>
      <c r="C6" s="4" t="s">
        <v>11</v>
      </c>
    </row>
    <row r="7" spans="1:3" ht="14.25" customHeight="1" x14ac:dyDescent="0.55000000000000004">
      <c r="A7" s="5" t="s">
        <v>12</v>
      </c>
      <c r="B7" s="3" t="s">
        <v>13</v>
      </c>
      <c r="C7" s="4" t="str">
        <f ca="1">IFERROR(__xludf.DUMMYFUNCTION("GOOGLETRANSLATE(B7,""en"",""id"")"),"Penghasilan tahunan yang dilaporkan sendiri gabungan yang disediakan oleh co-peminjam selama pendaftaran")</f>
        <v>Penghasilan tahunan yang dilaporkan sendiri gabungan yang disediakan oleh co-peminjam selama pendaftaran</v>
      </c>
    </row>
    <row r="8" spans="1:3" ht="14.25" customHeight="1" x14ac:dyDescent="0.55000000000000004">
      <c r="A8" s="5" t="s">
        <v>14</v>
      </c>
      <c r="B8" s="3" t="s">
        <v>15</v>
      </c>
      <c r="C8" s="4"/>
    </row>
    <row r="9" spans="1:3" ht="18" customHeight="1" x14ac:dyDescent="0.55000000000000004">
      <c r="A9" s="5" t="s">
        <v>16</v>
      </c>
      <c r="B9" s="3" t="s">
        <v>17</v>
      </c>
      <c r="C9" s="4" t="str">
        <f ca="1">IFERROR(__xludf.DUMMYFUNCTION("GOOGLETRANSLATE(B9,""en"",""id"")"),"Biaya pengumpulan biaya pengumpulan pos")</f>
        <v>Biaya pengumpulan biaya pengumpulan pos</v>
      </c>
    </row>
    <row r="10" spans="1:3" ht="14.25" customHeight="1" x14ac:dyDescent="0.55000000000000004">
      <c r="A10" s="5" t="s">
        <v>18</v>
      </c>
      <c r="B10" s="3" t="s">
        <v>19</v>
      </c>
      <c r="C10" s="4" t="str">
        <f ca="1">IFERROR(__xludf.DUMMYFUNCTION("GOOGLETRANSLATE(B10,""en"",""id"")"),"Jumlah koleksi dalam 12 bulan tidak termasuk koleksi medis")</f>
        <v>Jumlah koleksi dalam 12 bulan tidak termasuk koleksi medis</v>
      </c>
    </row>
    <row r="11" spans="1:3" ht="13.5" customHeight="1" x14ac:dyDescent="0.55000000000000004">
      <c r="A11" s="5" t="s">
        <v>20</v>
      </c>
      <c r="B11" s="3" t="s">
        <v>21</v>
      </c>
      <c r="C11" s="4" t="str">
        <f ca="1">IFERROR(__xludf.DUMMYFUNCTION("GOOGLETRANSLATE(B11,""en"",""id"")"),"Jumlah 30+ hari insiden kenakalan yang lewat dalam file kredit peminjam selama 2 tahun terakhir")</f>
        <v>Jumlah 30+ hari insiden kenakalan yang lewat dalam file kredit peminjam selama 2 tahun terakhir</v>
      </c>
    </row>
    <row r="12" spans="1:3" ht="14.25" customHeight="1" x14ac:dyDescent="0.55000000000000004">
      <c r="A12" s="6" t="s">
        <v>22</v>
      </c>
      <c r="B12" s="3" t="s">
        <v>23</v>
      </c>
      <c r="C12" s="4" t="str">
        <f ca="1">IFERROR(__xludf.DUMMYFUNCTION("GOOGLETRANSLATE(B12,""en"",""id"")"),"Deskripsi pinjaman yang disediakan oleh peminjam")</f>
        <v>Deskripsi pinjaman yang disediakan oleh peminjam</v>
      </c>
    </row>
    <row r="13" spans="1:3" ht="14.25" customHeight="1" x14ac:dyDescent="0.55000000000000004">
      <c r="A13" s="5" t="s">
        <v>24</v>
      </c>
      <c r="B13" s="3" t="s">
        <v>25</v>
      </c>
      <c r="C13" s="4" t="str">
        <f ca="1">IFERROR(__xludf.DUMMYFUNCTION("GOOGLETRANSLATE(B13,""en"",""id"")"),"Rasio yang dihitung menggunakan total pembayaran bulanan peminjam bersama atas total kewajiban utang, tidak termasuk hipotek dan pinjaman LC yang diminta, dibagi oleh pendapatan bulanan yang dilaporkan sendiri oleh co-peminjam yang dilaporkan sendiri")</f>
        <v>Rasio yang dihitung menggunakan total pembayaran bulanan peminjam bersama atas total kewajiban utang, tidak termasuk hipotek dan pinjaman LC yang diminta, dibagi oleh pendapatan bulanan yang dilaporkan sendiri oleh co-peminjam yang dilaporkan sendiri</v>
      </c>
    </row>
    <row r="14" spans="1:3" ht="14.25" customHeight="1" x14ac:dyDescent="0.55000000000000004">
      <c r="A14" s="6" t="s">
        <v>26</v>
      </c>
      <c r="B14" s="3" t="s">
        <v>27</v>
      </c>
      <c r="C14" s="4" t="str">
        <f ca="1">IFERROR(__xludf.DUMMYFUNCTION("GOOGLETRANSLATE(B14,""en"",""id"")"),"Bulan jalur kredit yang paling awal yang dilaporkan peminjam dibuka")</f>
        <v>Bulan jalur kredit yang paling awal yang dilaporkan peminjam dibuka</v>
      </c>
    </row>
    <row r="15" spans="1:3" ht="14.25" customHeight="1" x14ac:dyDescent="0.55000000000000004">
      <c r="A15" s="6" t="s">
        <v>28</v>
      </c>
      <c r="B15" s="3" t="s">
        <v>29</v>
      </c>
      <c r="C15" s="4" t="str">
        <f ca="1">IFERROR(__xludf.DUMMYFUNCTION("GOOGLETRANSLATE(B15,""en"",""id"")"),"Panjang pekerjaan dalam beberapa tahun. Nilai yang mungkin adalah antara 0 dan 10 di mana 0 berarti kurang dari satu tahun dan 10 berarti sepuluh tahun atau lebih.")</f>
        <v>Panjang pekerjaan dalam beberapa tahun. Nilai yang mungkin adalah antara 0 dan 10 di mana 0 berarti kurang dari satu tahun dan 10 berarti sepuluh tahun atau lebih.</v>
      </c>
    </row>
    <row r="16" spans="1:3" ht="14.25" customHeight="1" x14ac:dyDescent="0.55000000000000004">
      <c r="A16" s="6" t="s">
        <v>30</v>
      </c>
      <c r="B16" s="3" t="s">
        <v>31</v>
      </c>
      <c r="C16" s="4" t="str">
        <f ca="1">IFERROR(__xludf.DUMMYFUNCTION("GOOGLETRANSLATE(B16,""en"",""id"")"),"Judul pekerjaan yang disediakan oleh peminjam saat mengajukan pinjaman.*")</f>
        <v>Judul pekerjaan yang disediakan oleh peminjam saat mengajukan pinjaman.*</v>
      </c>
    </row>
    <row r="17" spans="1:3" ht="14.25" customHeight="1" x14ac:dyDescent="0.55000000000000004">
      <c r="A17" s="2" t="s">
        <v>32</v>
      </c>
      <c r="B17" s="3" t="s">
        <v>33</v>
      </c>
      <c r="C17" s="4" t="str">
        <f ca="1">IFERROR(__xludf.DUMMYFUNCTION("GOOGLETRANSLATE(B17,""en"",""id"")"),"Rasio yang dihitung menggunakan total pembayaran utang bulanan peminjam atas total kewajiban utang, tidak termasuk hipotek dan pinjaman LC yang diminta, dibagi dengan pendapatan bulanan peminjam yang dilaporkan sendiri.")</f>
        <v>Rasio yang dihitung menggunakan total pembayaran utang bulanan peminjam atas total kewajiban utang, tidak termasuk hipotek dan pinjaman LC yang diminta, dibagi dengan pendapatan bulanan peminjam yang dilaporkan sendiri.</v>
      </c>
    </row>
    <row r="18" spans="1:3" ht="13.5" customHeight="1" x14ac:dyDescent="0.55000000000000004">
      <c r="A18" s="5" t="s">
        <v>34</v>
      </c>
      <c r="B18" s="3" t="s">
        <v>35</v>
      </c>
      <c r="C18" s="4" t="str">
        <f ca="1">IFERROR(__xludf.DUMMYFUNCTION("GOOGLETRANSLATE(B18,""en"",""id"")"),"Kisaran batas atas fico peminjam dengan pinjaman originasi milik.")</f>
        <v>Kisaran batas atas fico peminjam dengan pinjaman originasi milik.</v>
      </c>
    </row>
    <row r="19" spans="1:3" ht="14.25" customHeight="1" x14ac:dyDescent="0.55000000000000004">
      <c r="A19" s="5" t="s">
        <v>36</v>
      </c>
      <c r="B19" s="3" t="s">
        <v>37</v>
      </c>
      <c r="C19" s="4" t="str">
        <f ca="1">IFERROR(__xludf.DUMMYFUNCTION("GOOGLETRANSLATE(B19,""en"",""id"")"),"Rentang batas bawah fico peminjam dengan pinjaman originasi milik.")</f>
        <v>Rentang batas bawah fico peminjam dengan pinjaman originasi milik.</v>
      </c>
    </row>
    <row r="20" spans="1:3" ht="14.25" customHeight="1" x14ac:dyDescent="0.55000000000000004">
      <c r="A20" s="7" t="s">
        <v>38</v>
      </c>
      <c r="B20" s="3" t="s">
        <v>39</v>
      </c>
      <c r="C20" s="4" t="str">
        <f ca="1">IFERROR(__xludf.DUMMYFUNCTION("GOOGLETRANSLATE(B20,""en"",""id"")"),"Jumlah total yang berkomitmen untuk pinjaman itu pada saat itu.")</f>
        <v>Jumlah total yang berkomitmen untuk pinjaman itu pada saat itu.</v>
      </c>
    </row>
    <row r="21" spans="1:3" ht="14.25" customHeight="1" x14ac:dyDescent="0.55000000000000004">
      <c r="A21" s="8" t="s">
        <v>40</v>
      </c>
      <c r="B21" s="9" t="s">
        <v>41</v>
      </c>
      <c r="C21" s="10" t="str">
        <f ca="1">IFERROR(__xludf.DUMMYFUNCTION("GOOGLETRANSLATE(B21,""en"",""id"")"),"LC menugaskan nilai pinjaman")</f>
        <v>LC menugaskan nilai pinjaman</v>
      </c>
    </row>
    <row r="22" spans="1:3" ht="14.25" customHeight="1" x14ac:dyDescent="0.55000000000000004">
      <c r="A22" s="2" t="s">
        <v>42</v>
      </c>
      <c r="B22" s="3" t="s">
        <v>43</v>
      </c>
      <c r="C22" s="4" t="str">
        <f ca="1">IFERROR(__xludf.DUMMYFUNCTION("GOOGLETRANSLATE(B22,""en"",""id"")"),"Status kepemilikan rumah yang disediakan oleh peminjam selama pendaftaran. Nilai -nilai kami adalah: sewa, sendiri, hipotek, lainnya.")</f>
        <v>Status kepemilikan rumah yang disediakan oleh peminjam selama pendaftaran. Nilai -nilai kami adalah: sewa, sendiri, hipotek, lainnya.</v>
      </c>
    </row>
    <row r="23" spans="1:3" ht="14.25" customHeight="1" x14ac:dyDescent="0.55000000000000004">
      <c r="A23" s="7" t="s">
        <v>44</v>
      </c>
      <c r="B23" s="3" t="s">
        <v>45</v>
      </c>
      <c r="C23" s="4" t="str">
        <f ca="1">IFERROR(__xludf.DUMMYFUNCTION("GOOGLETRANSLATE(B23,""en"",""id"")"),"ID yang ditugaskan LC yang unik untuk daftar pinjaman.")</f>
        <v>ID yang ditugaskan LC yang unik untuk daftar pinjaman.</v>
      </c>
    </row>
    <row r="24" spans="1:3" ht="14.25" customHeight="1" x14ac:dyDescent="0.55000000000000004">
      <c r="A24" s="5" t="s">
        <v>46</v>
      </c>
      <c r="B24" s="3" t="s">
        <v>47</v>
      </c>
      <c r="C24" s="4" t="str">
        <f ca="1">IFERROR(__xludf.DUMMYFUNCTION("GOOGLETRANSLATE(B24,""en"",""id"")"),"Rasio total saldo saat ini dengan batas kredit/kredit tinggi pada semua instal acct")</f>
        <v>Rasio total saldo saat ini dengan batas kredit/kredit tinggi pada semua instal acct</v>
      </c>
    </row>
    <row r="25" spans="1:3" ht="14.25" customHeight="1" x14ac:dyDescent="0.55000000000000004">
      <c r="A25" s="5" t="s">
        <v>48</v>
      </c>
      <c r="B25" s="3" t="s">
        <v>49</v>
      </c>
      <c r="C25" s="4" t="str">
        <f ca="1">IFERROR(__xludf.DUMMYFUNCTION("GOOGLETRANSLATE(B25,""en"",""id"")"),"Status daftar awal pinjaman. Nilai yang mungkin adalah - utuh, fraksional")</f>
        <v>Status daftar awal pinjaman. Nilai yang mungkin adalah - utuh, fraksional</v>
      </c>
    </row>
    <row r="26" spans="1:3" ht="14.25" customHeight="1" x14ac:dyDescent="0.55000000000000004">
      <c r="A26" s="5" t="s">
        <v>50</v>
      </c>
      <c r="B26" s="11" t="s">
        <v>51</v>
      </c>
      <c r="C26" s="4" t="str">
        <f ca="1">IFERROR(__xludf.DUMMYFUNCTION("GOOGLETRANSLATE(B26,""en"",""id"")"),"Jumlah pertanyaan keuangan pribadi")</f>
        <v>Jumlah pertanyaan keuangan pribadi</v>
      </c>
    </row>
    <row r="27" spans="1:3" ht="14.25" customHeight="1" x14ac:dyDescent="0.55000000000000004">
      <c r="A27" s="5" t="s">
        <v>52</v>
      </c>
      <c r="B27" s="3" t="s">
        <v>53</v>
      </c>
      <c r="C27" s="4" t="str">
        <f ca="1">IFERROR(__xludf.DUMMYFUNCTION("GOOGLETRANSLATE(B27,""en"",""id"")"),"Jumlah pertanyaan kredit dalam 12 bulan terakhir")</f>
        <v>Jumlah pertanyaan kredit dalam 12 bulan terakhir</v>
      </c>
    </row>
    <row r="28" spans="1:3" ht="14.25" customHeight="1" x14ac:dyDescent="0.55000000000000004">
      <c r="A28" s="6" t="s">
        <v>54</v>
      </c>
      <c r="B28" s="3" t="s">
        <v>55</v>
      </c>
      <c r="C28" s="4" t="str">
        <f ca="1">IFERROR(__xludf.DUMMYFUNCTION("GOOGLETRANSLATE(B28,""en"",""id"")"),"Jumlah pertanyaan dalam 6 bulan terakhir (tidak termasuk penyelidikan mobil dan hipotek)")</f>
        <v>Jumlah pertanyaan dalam 6 bulan terakhir (tidak termasuk penyelidikan mobil dan hipotek)</v>
      </c>
    </row>
    <row r="29" spans="1:3" ht="14.25" customHeight="1" x14ac:dyDescent="0.55000000000000004">
      <c r="A29" s="2" t="s">
        <v>56</v>
      </c>
      <c r="B29" s="3" t="s">
        <v>57</v>
      </c>
      <c r="C29" s="4" t="str">
        <f ca="1">IFERROR(__xludf.DUMMYFUNCTION("GOOGLETRANSLATE(B29,""en"",""id"")"),"Pembayaran bulanan yang terutang oleh peminjam jika pinjaman berasal.")</f>
        <v>Pembayaran bulanan yang terutang oleh peminjam jika pinjaman berasal.</v>
      </c>
    </row>
    <row r="30" spans="1:3" ht="14.25" customHeight="1" x14ac:dyDescent="0.55000000000000004">
      <c r="A30" s="7" t="s">
        <v>58</v>
      </c>
      <c r="B30" s="3" t="s">
        <v>59</v>
      </c>
      <c r="C30" s="4" t="str">
        <f ca="1">IFERROR(__xludf.DUMMYFUNCTION("GOOGLETRANSLATE(B30,""en"",""id"")"),"Menunjukkan jika pendapatan diverifikasi oleh LC, tidak diverifikasi, atau jika sumber pendapatan diverifikasi")</f>
        <v>Menunjukkan jika pendapatan diverifikasi oleh LC, tidak diverifikasi, atau jika sumber pendapatan diverifikasi</v>
      </c>
    </row>
    <row r="31" spans="1:3" ht="35.25" customHeight="1" x14ac:dyDescent="0.55000000000000004">
      <c r="A31" s="5" t="s">
        <v>60</v>
      </c>
      <c r="B31" s="12"/>
      <c r="C31" s="4" t="str">
        <f ca="1">IFERROR(__xludf.DUMMYFUNCTION("GOOGLETRANSLATE(B30,""en"",""id"")"),"Menunjukkan jika pendapatan diverifikasi oleh LC, tidak diverifikasi, atau jika sumber pendapatan diverifikasi")</f>
        <v>Menunjukkan jika pendapatan diverifikasi oleh LC, tidak diverifikasi, atau jika sumber pendapatan diverifikasi</v>
      </c>
    </row>
    <row r="32" spans="1:3" ht="14.25" customHeight="1" x14ac:dyDescent="0.55000000000000004">
      <c r="A32" s="6" t="s">
        <v>61</v>
      </c>
      <c r="B32" s="3" t="s">
        <v>62</v>
      </c>
      <c r="C32" s="4" t="str">
        <f ca="1">IFERROR(__xludf.DUMMYFUNCTION("GOOGLETRANSLATE(B32,""en"",""id"")"),"Bulan yang didanai pinjaman")</f>
        <v>Bulan yang didanai pinjaman</v>
      </c>
    </row>
    <row r="33" spans="1:3" ht="14.25" customHeight="1" x14ac:dyDescent="0.55000000000000004">
      <c r="A33" s="5" t="s">
        <v>44</v>
      </c>
      <c r="B33" s="3" t="s">
        <v>63</v>
      </c>
      <c r="C33" s="4" t="str">
        <f ca="1">IFERROR(__xludf.DUMMYFUNCTION("GOOGLETRANSLATE(B33,""en"",""id"")"),"Bulan terbaru LC menarik kredit untuk pinjaman ini")</f>
        <v>Bulan terbaru LC menarik kredit untuk pinjaman ini</v>
      </c>
    </row>
    <row r="34" spans="1:3" ht="14.25" customHeight="1" x14ac:dyDescent="0.55000000000000004">
      <c r="A34" s="5" t="s">
        <v>64</v>
      </c>
      <c r="B34" s="3" t="s">
        <v>65</v>
      </c>
      <c r="C34" s="4" t="str">
        <f ca="1">IFERROR(__xludf.DUMMYFUNCTION("GOOGLETRANSLATE(B34,""en"",""id"")"),"Rentang batas atas yang ditarik oleh fico terakhir peminjam.")</f>
        <v>Rentang batas atas yang ditarik oleh fico terakhir peminjam.</v>
      </c>
    </row>
    <row r="35" spans="1:3" ht="14.25" customHeight="1" x14ac:dyDescent="0.55000000000000004">
      <c r="A35" s="5" t="s">
        <v>66</v>
      </c>
      <c r="B35" s="3" t="s">
        <v>67</v>
      </c>
      <c r="C35" s="4" t="str">
        <f ca="1">IFERROR(__xludf.DUMMYFUNCTION("GOOGLETRANSLATE(B35,""en"",""id"")"),"Rentang batas bawah yang dimiliki oleh fico terakhir peminjam.")</f>
        <v>Rentang batas bawah yang dimiliki oleh fico terakhir peminjam.</v>
      </c>
    </row>
    <row r="36" spans="1:3" ht="14.25" customHeight="1" x14ac:dyDescent="0.55000000000000004">
      <c r="A36" s="2" t="s">
        <v>68</v>
      </c>
      <c r="B36" s="3" t="s">
        <v>69</v>
      </c>
      <c r="C36" s="4" t="str">
        <f ca="1">IFERROR(__xludf.DUMMYFUNCTION("GOOGLETRANSLATE(B36,""en"",""id"")"),"Jumlah total pembayaran terakhir yang diterima")</f>
        <v>Jumlah total pembayaran terakhir yang diterima</v>
      </c>
    </row>
    <row r="37" spans="1:3" ht="14.25" customHeight="1" x14ac:dyDescent="0.55000000000000004">
      <c r="A37" s="5" t="s">
        <v>70</v>
      </c>
      <c r="B37" s="3" t="s">
        <v>71</v>
      </c>
      <c r="C37" s="4" t="str">
        <f ca="1">IFERROR(__xludf.DUMMYFUNCTION("GOOGLETRANSLATE(B37,""en"",""id"")"),"Bulan lalu pembayaran diterima")</f>
        <v>Bulan lalu pembayaran diterima</v>
      </c>
    </row>
    <row r="38" spans="1:3" ht="14.25" customHeight="1" x14ac:dyDescent="0.55000000000000004">
      <c r="A38" s="7" t="s">
        <v>72</v>
      </c>
      <c r="B38" s="3" t="s">
        <v>71</v>
      </c>
      <c r="C38" s="4" t="str">
        <f ca="1">IFERROR(__xludf.DUMMYFUNCTION("GOOGLETRANSLATE(B38,""en"",""id"")"),"Bulan lalu pembayaran diterima")</f>
        <v>Bulan lalu pembayaran diterima</v>
      </c>
    </row>
    <row r="39" spans="1:3" ht="14.25" customHeight="1" x14ac:dyDescent="0.55000000000000004">
      <c r="A39" s="13" t="s">
        <v>73</v>
      </c>
      <c r="B39" s="14" t="s">
        <v>74</v>
      </c>
      <c r="C39" s="4" t="str">
        <f ca="1">IFERROR(__xludf.DUMMYFUNCTION("GOOGLETRANSLATE(B39,""en"",""id"")"),"Status pinjaman saat ini")</f>
        <v>Status pinjaman saat ini</v>
      </c>
    </row>
    <row r="40" spans="1:3" ht="14.25" customHeight="1" x14ac:dyDescent="0.55000000000000004">
      <c r="A40" s="5" t="s">
        <v>75</v>
      </c>
      <c r="B40" s="3" t="s">
        <v>76</v>
      </c>
      <c r="C40" s="4" t="str">
        <f ca="1">IFERROR(__xludf.DUMMYFUNCTION("GOOGLETRANSLATE(B40,""en"",""id"")"),"Saldo arus maksimum terutang pada semua akun bergulir")</f>
        <v>Saldo arus maksimum terutang pada semua akun bergulir</v>
      </c>
    </row>
    <row r="41" spans="1:3" ht="15.75" customHeight="1" x14ac:dyDescent="0.55000000000000004">
      <c r="A41" s="7" t="s">
        <v>77</v>
      </c>
      <c r="B41" s="3" t="s">
        <v>78</v>
      </c>
      <c r="C41" s="4" t="str">
        <f ca="1">IFERROR(__xludf.DUMMYFUNCTION("GOOGLETRANSLATE(B41,""en"",""id"")"),"ID yang ditugaskan LC yang unik untuk anggota peminjam.")</f>
        <v>ID yang ditugaskan LC yang unik untuk anggota peminjam.</v>
      </c>
    </row>
    <row r="42" spans="1:3" ht="14.25" customHeight="1" x14ac:dyDescent="0.55000000000000004">
      <c r="A42" s="6" t="s">
        <v>79</v>
      </c>
      <c r="B42" s="3" t="s">
        <v>80</v>
      </c>
      <c r="C42" s="4" t="str">
        <f ca="1">IFERROR(__xludf.DUMMYFUNCTION("GOOGLETRANSLATE(B42,""en"",""id"")"),"Jumlah bulan sejak kenakalan terakhir peminjam.")</f>
        <v>Jumlah bulan sejak kenakalan terakhir peminjam.</v>
      </c>
    </row>
    <row r="43" spans="1:3" ht="14.25" customHeight="1" x14ac:dyDescent="0.55000000000000004">
      <c r="A43" s="5" t="s">
        <v>81</v>
      </c>
      <c r="B43" s="3" t="s">
        <v>82</v>
      </c>
      <c r="C43" s="4" t="str">
        <f ca="1">IFERROR(__xludf.DUMMYFUNCTION("GOOGLETRANSLATE(B43,""en"",""id"")"),"Bulan sejak peringkat 90 hari atau lebih buruk terakhir")</f>
        <v>Bulan sejak peringkat 90 hari atau lebih buruk terakhir</v>
      </c>
    </row>
    <row r="44" spans="1:3" ht="14.25" customHeight="1" x14ac:dyDescent="0.55000000000000004">
      <c r="A44" s="6" t="s">
        <v>83</v>
      </c>
      <c r="B44" s="3" t="s">
        <v>84</v>
      </c>
      <c r="C44" s="4" t="str">
        <f ca="1">IFERROR(__xludf.DUMMYFUNCTION("GOOGLETRANSLATE(B44,""en"",""id"")"),"Jumlah bulan sejak catatan publik terakhir.")</f>
        <v>Jumlah bulan sejak catatan publik terakhir.</v>
      </c>
    </row>
    <row r="45" spans="1:3" ht="14.25" customHeight="1" x14ac:dyDescent="0.55000000000000004">
      <c r="A45" s="5" t="s">
        <v>85</v>
      </c>
      <c r="B45" s="3" t="s">
        <v>86</v>
      </c>
      <c r="C45" s="4" t="str">
        <f ca="1">IFERROR(__xludf.DUMMYFUNCTION("GOOGLETRANSLATE(B45,""en"",""id"")"),"Bulan sejak akun angsuran terbaru dibuka")</f>
        <v>Bulan sejak akun angsuran terbaru dibuka</v>
      </c>
    </row>
    <row r="46" spans="1:3" ht="27.75" customHeight="1" x14ac:dyDescent="0.55000000000000004">
      <c r="A46" s="5" t="s">
        <v>87</v>
      </c>
      <c r="B46" s="3" t="s">
        <v>88</v>
      </c>
      <c r="C46" s="4" t="str">
        <f ca="1">IFERROR(__xludf.DUMMYFUNCTION("GOOGLETRANSLATE(B46,""en"",""id"")"),"Tanggal Pembayaran Terjadwal Berikutnya")</f>
        <v>Tanggal Pembayaran Terjadwal Berikutnya</v>
      </c>
    </row>
    <row r="47" spans="1:3" ht="14.25" customHeight="1" x14ac:dyDescent="0.55000000000000004">
      <c r="A47" s="5" t="s">
        <v>89</v>
      </c>
      <c r="B47" s="3" t="s">
        <v>90</v>
      </c>
      <c r="C47" s="4" t="str">
        <f ca="1">IFERROR(__xludf.DUMMYFUNCTION("GOOGLETRANSLATE(B47,""en"",""id"")"),"Jumlah jalur kredit terbuka dalam file kredit peminjam.")</f>
        <v>Jumlah jalur kredit terbuka dalam file kredit peminjam.</v>
      </c>
    </row>
    <row r="48" spans="1:3" ht="14.25" customHeight="1" x14ac:dyDescent="0.55000000000000004">
      <c r="A48" s="5" t="s">
        <v>91</v>
      </c>
      <c r="B48" s="3" t="s">
        <v>92</v>
      </c>
      <c r="C48" s="4" t="str">
        <f ca="1">IFERROR(__xludf.DUMMYFUNCTION("GOOGLETRANSLATE(B48,""en"",""id"")"),"Jumlah perdagangan terbuka dalam 6 bulan terakhir")</f>
        <v>Jumlah perdagangan terbuka dalam 6 bulan terakhir</v>
      </c>
    </row>
    <row r="49" spans="1:3" ht="14.25" customHeight="1" x14ac:dyDescent="0.55000000000000004">
      <c r="A49" s="5" t="s">
        <v>93</v>
      </c>
      <c r="B49" s="12"/>
      <c r="C49" s="4" t="str">
        <f ca="1">IFERROR(__xludf.DUMMYFUNCTION("GOOGLETRANSLATE(B48,""en"",""id"")"),"Jumlah perdagangan terbuka dalam 6 bulan terakhir")</f>
        <v>Jumlah perdagangan terbuka dalam 6 bulan terakhir</v>
      </c>
    </row>
    <row r="50" spans="1:3" ht="14.25" customHeight="1" x14ac:dyDescent="0.55000000000000004">
      <c r="A50" s="5" t="s">
        <v>94</v>
      </c>
      <c r="B50" s="3" t="s">
        <v>95</v>
      </c>
      <c r="C50" s="4" t="str">
        <f ca="1">IFERROR(__xludf.DUMMYFUNCTION("GOOGLETRANSLATE(B50,""en"",""id"")"),"Jumlah akun angsuran yang dibuka dalam 24 bulan terakhir")</f>
        <v>Jumlah akun angsuran yang dibuka dalam 24 bulan terakhir</v>
      </c>
    </row>
    <row r="51" spans="1:3" ht="14.25" customHeight="1" x14ac:dyDescent="0.55000000000000004">
      <c r="A51" s="5" t="s">
        <v>96</v>
      </c>
      <c r="B51" s="3" t="s">
        <v>97</v>
      </c>
      <c r="C51" s="4" t="str">
        <f ca="1">IFERROR(__xludf.DUMMYFUNCTION("GOOGLETRANSLATE(B51,""en"",""id"")"),"Jumlah akun angsuran yang dibuka dalam 12 bulan terakhir")</f>
        <v>Jumlah akun angsuran yang dibuka dalam 12 bulan terakhir</v>
      </c>
    </row>
    <row r="52" spans="1:3" ht="14.25" customHeight="1" x14ac:dyDescent="0.55000000000000004">
      <c r="A52" s="5" t="s">
        <v>98</v>
      </c>
      <c r="B52" s="3" t="s">
        <v>99</v>
      </c>
      <c r="C52" s="4" t="str">
        <f ca="1">IFERROR(__xludf.DUMMYFUNCTION("GOOGLETRANSLATE(B52,""en"",""id"")"),"Jumlah Perdagangan Revolving Dibuka dalam 12 Bulan Terakhir")</f>
        <v>Jumlah Perdagangan Revolving Dibuka dalam 12 Bulan Terakhir</v>
      </c>
    </row>
    <row r="53" spans="1:3" ht="14.25" customHeight="1" x14ac:dyDescent="0.55000000000000004">
      <c r="A53" s="5" t="s">
        <v>100</v>
      </c>
      <c r="B53" s="3" t="s">
        <v>101</v>
      </c>
      <c r="C53" s="4" t="str">
        <f ca="1">IFERROR(__xludf.DUMMYFUNCTION("GOOGLETRANSLATE(B53,""en"",""id"")"),"Jumlah perdagangan revolving dibuka dalam 24 bulan terakhir")</f>
        <v>Jumlah perdagangan revolving dibuka dalam 24 bulan terakhir</v>
      </c>
    </row>
    <row r="54" spans="1:3" ht="14.25" customHeight="1" x14ac:dyDescent="0.55000000000000004">
      <c r="A54" s="5" t="s">
        <v>102</v>
      </c>
      <c r="B54" s="3" t="s">
        <v>103</v>
      </c>
      <c r="C54" s="4" t="str">
        <f ca="1">IFERROR(__xludf.DUMMYFUNCTION("GOOGLETRANSLATE(B54,""en"",""id"")"),"Kepala sekolah yang tersisa untuk jumlah total yang didanai")</f>
        <v>Kepala sekolah yang tersisa untuk jumlah total yang didanai</v>
      </c>
    </row>
    <row r="55" spans="1:3" ht="14.25" customHeight="1" x14ac:dyDescent="0.55000000000000004">
      <c r="A55" s="15" t="s">
        <v>104</v>
      </c>
      <c r="B55" s="16" t="s">
        <v>105</v>
      </c>
      <c r="C55" s="17" t="str">
        <f ca="1">IFERROR(__xludf.DUMMYFUNCTION("GOOGLETRANSLATE(B55,""en"",""id"")"),"Kepala sekolah yang tersisa untuk sebagian dari jumlah total yang didanai oleh investor")</f>
        <v>Kepala sekolah yang tersisa untuk sebagian dari jumlah total yang didanai oleh investor</v>
      </c>
    </row>
    <row r="56" spans="1:3" ht="14.25" customHeight="1" x14ac:dyDescent="0.55000000000000004">
      <c r="A56" s="5" t="s">
        <v>106</v>
      </c>
      <c r="B56" s="3" t="s">
        <v>107</v>
      </c>
      <c r="C56" s="4" t="str">
        <f ca="1">IFERROR(__xludf.DUMMYFUNCTION("GOOGLETRANSLATE(B56,""en"",""id"")"),"Policy_code yang tersedia untuk umum = 1
Produk Baru Tidak Tersedia Umum Kebijakan_Code = 2")</f>
        <v>Policy_code yang tersedia untuk umum = 1
Produk Baru Tidak Tersedia Umum Kebijakan_Code = 2</v>
      </c>
    </row>
    <row r="57" spans="1:3" ht="14.25" customHeight="1" x14ac:dyDescent="0.55000000000000004">
      <c r="A57" s="5" t="s">
        <v>108</v>
      </c>
      <c r="B57" s="3" t="s">
        <v>109</v>
      </c>
      <c r="C57" s="4" t="str">
        <f ca="1">IFERROR(__xludf.DUMMYFUNCTION("GOOGLETRANSLATE(B57,""en"",""id"")"),"Jumlah catatan publik yang menghina")</f>
        <v>Jumlah catatan publik yang menghina</v>
      </c>
    </row>
    <row r="58" spans="1:3" ht="14.25" customHeight="1" x14ac:dyDescent="0.55000000000000004">
      <c r="A58" s="2" t="s">
        <v>110</v>
      </c>
      <c r="B58" s="3" t="s">
        <v>111</v>
      </c>
      <c r="C58" s="4" t="str">
        <f ca="1">IFERROR(__xludf.DUMMYFUNCTION("GOOGLETRANSLATE(B58,""en"",""id"")"),"Kategori yang disediakan oleh peminjam untuk permintaan pinjaman.")</f>
        <v>Kategori yang disediakan oleh peminjam untuk permintaan pinjaman.</v>
      </c>
    </row>
    <row r="59" spans="1:3" ht="14.25" customHeight="1" x14ac:dyDescent="0.55000000000000004">
      <c r="A59" s="5"/>
      <c r="B59" s="3" t="s">
        <v>112</v>
      </c>
      <c r="C59" s="4" t="str">
        <f ca="1">IFERROR(__xludf.DUMMYFUNCTION("GOOGLETRANSLATE(B59,""en"",""id"")"),"Menunjukkan jika rencana pembayaran telah diberlakukan untuk pinjaman")</f>
        <v>Menunjukkan jika rencana pembayaran telah diberlakukan untuk pinjaman</v>
      </c>
    </row>
    <row r="60" spans="1:3" ht="14.25" customHeight="1" x14ac:dyDescent="0.55000000000000004">
      <c r="A60" s="15" t="s">
        <v>113</v>
      </c>
      <c r="B60" s="3" t="s">
        <v>112</v>
      </c>
      <c r="C60" s="18" t="str">
        <f ca="1">IFERROR(__xludf.DUMMYFUNCTION("GOOGLETRANSLATE(B60,""en"",""id"")"),"Menunjukkan jika rencana pembayaran telah diberlakukan untuk pinjaman")</f>
        <v>Menunjukkan jika rencana pembayaran telah diberlakukan untuk pinjaman</v>
      </c>
    </row>
    <row r="61" spans="1:3" ht="14.25" customHeight="1" x14ac:dyDescent="0.55000000000000004">
      <c r="A61" s="5" t="s">
        <v>114</v>
      </c>
      <c r="B61" s="3" t="s">
        <v>115</v>
      </c>
      <c r="C61" s="4" t="str">
        <f ca="1">IFERROR(__xludf.DUMMYFUNCTION("GOOGLETRANSLATE(B61,""en"",""id"")"),"Total Saldo Revolving Credit")</f>
        <v>Total Saldo Revolving Credit</v>
      </c>
    </row>
    <row r="62" spans="1:3" ht="14.25" customHeight="1" x14ac:dyDescent="0.55000000000000004">
      <c r="A62" s="2" t="s">
        <v>116</v>
      </c>
      <c r="B62" s="3" t="s">
        <v>117</v>
      </c>
      <c r="C62" s="4" t="str">
        <f ca="1">IFERROR(__xludf.DUMMYFUNCTION("GOOGLETRANSLATE(B62,""en"",""id"")"),"Tingkat pemanfaatan jalur bergulir, atau jumlah kredit yang digunakan peminjam relatif terhadap semua kredit revolving yang tersedia.")</f>
        <v>Tingkat pemanfaatan jalur bergulir, atau jumlah kredit yang digunakan peminjam relatif terhadap semua kredit revolving yang tersedia.</v>
      </c>
    </row>
    <row r="63" spans="1:3" ht="14.25" customHeight="1" x14ac:dyDescent="0.55000000000000004">
      <c r="A63" s="2" t="s">
        <v>118</v>
      </c>
      <c r="B63" s="3" t="s">
        <v>119</v>
      </c>
      <c r="C63" s="4" t="str">
        <f ca="1">IFERROR(__xludf.DUMMYFUNCTION("GOOGLETRANSLATE(B63,""en"",""id"")"),"LC Ditugaskan Subgrade Pinjaman")</f>
        <v>LC Ditugaskan Subgrade Pinjaman</v>
      </c>
    </row>
    <row r="64" spans="1:3" ht="14.25" customHeight="1" x14ac:dyDescent="0.55000000000000004">
      <c r="A64" s="7" t="s">
        <v>120</v>
      </c>
      <c r="B64" s="11" t="s">
        <v>121</v>
      </c>
      <c r="C64" s="4" t="str">
        <f ca="1">IFERROR(__xludf.DUMMYFUNCTION("GOOGLETRANSLATE(B64,""en"",""id"")"),"Jumlah pembayaran atas pinjaman. Nilai dalam beberapa bulan dan dapat berupa 36 atau 60.")</f>
        <v>Jumlah pembayaran atas pinjaman. Nilai dalam beberapa bulan dan dapat berupa 36 atau 60.</v>
      </c>
    </row>
    <row r="65" spans="1:3" ht="14.25" customHeight="1" x14ac:dyDescent="0.55000000000000004">
      <c r="A65" s="6" t="s">
        <v>122</v>
      </c>
      <c r="B65" s="3" t="s">
        <v>123</v>
      </c>
      <c r="C65" s="4" t="str">
        <f ca="1">IFERROR(__xludf.DUMMYFUNCTION("GOOGLETRANSLATE(B65,""en"",""id"")"),"Judul pinjaman yang disediakan oleh peminjam")</f>
        <v>Judul pinjaman yang disediakan oleh peminjam</v>
      </c>
    </row>
    <row r="66" spans="1:3" ht="14.25" customHeight="1" x14ac:dyDescent="0.55000000000000004">
      <c r="A66" s="5" t="s">
        <v>124</v>
      </c>
      <c r="B66" s="3" t="s">
        <v>125</v>
      </c>
      <c r="C66" s="4" t="str">
        <f ca="1">IFERROR(__xludf.DUMMYFUNCTION("GOOGLETRANSLATE(B66,""en"",""id"")"),"Total jumlah pengumpulan yang pernah ada")</f>
        <v>Total jumlah pengumpulan yang pernah ada</v>
      </c>
    </row>
    <row r="67" spans="1:3" ht="14.25" customHeight="1" x14ac:dyDescent="0.55000000000000004">
      <c r="A67" s="5" t="s">
        <v>126</v>
      </c>
      <c r="B67" s="3" t="s">
        <v>127</v>
      </c>
      <c r="C67" s="4" t="str">
        <f ca="1">IFERROR(__xludf.DUMMYFUNCTION("GOOGLETRANSLATE(B67,""en"",""id"")"),"Total Saldo Saat Ini dari Semua Akun")</f>
        <v>Total Saldo Saat Ini dari Semua Akun</v>
      </c>
    </row>
    <row r="68" spans="1:3" ht="14.25" customHeight="1" x14ac:dyDescent="0.55000000000000004">
      <c r="A68" s="19" t="s">
        <v>128</v>
      </c>
      <c r="B68" s="3" t="s">
        <v>129</v>
      </c>
      <c r="C68" s="4" t="str">
        <f ca="1">IFERROR(__xludf.DUMMYFUNCTION("GOOGLETRANSLATE(B68,""en"",""id"")"),"Jumlah total jalur kredit saat ini dalam file kredit peminjam")</f>
        <v>Jumlah total jalur kredit saat ini dalam file kredit peminjam</v>
      </c>
    </row>
    <row r="69" spans="1:3" ht="14.25" customHeight="1" x14ac:dyDescent="0.55000000000000004">
      <c r="A69" s="5" t="s">
        <v>130</v>
      </c>
      <c r="B69" s="3" t="s">
        <v>131</v>
      </c>
      <c r="C69" s="4" t="str">
        <f ca="1">IFERROR(__xludf.DUMMYFUNCTION("GOOGLETRANSLATE(B69,""en"",""id"")"),"Total saldo saat ini dari semua akun angsuran")</f>
        <v>Total saldo saat ini dari semua akun angsuran</v>
      </c>
    </row>
    <row r="70" spans="1:3" ht="14.25" customHeight="1" x14ac:dyDescent="0.55000000000000004">
      <c r="A70" s="5" t="s">
        <v>132</v>
      </c>
      <c r="B70" s="3" t="s">
        <v>133</v>
      </c>
      <c r="C70" s="4" t="str">
        <f ca="1">IFERROR(__xludf.DUMMYFUNCTION("GOOGLETRANSLATE(B70,""en"",""id"")"),"Jumlah Perdagangan Keuangan")</f>
        <v>Jumlah Perdagangan Keuangan</v>
      </c>
    </row>
    <row r="71" spans="1:3" ht="14.25" customHeight="1" x14ac:dyDescent="0.55000000000000004">
      <c r="A71" s="2" t="s">
        <v>134</v>
      </c>
      <c r="B71" s="3" t="s">
        <v>135</v>
      </c>
      <c r="C71" s="4" t="str">
        <f ca="1">IFERROR(__xludf.DUMMYFUNCTION("GOOGLETRANSLATE(B71,""en"",""id"")"),"Pembayaran diterima hingga saat ini untuk jumlah total yang didanai")</f>
        <v>Pembayaran diterima hingga saat ini untuk jumlah total yang didanai</v>
      </c>
    </row>
    <row r="72" spans="1:3" ht="14.25" customHeight="1" x14ac:dyDescent="0.55000000000000004">
      <c r="A72" s="2" t="s">
        <v>136</v>
      </c>
      <c r="B72" s="3" t="s">
        <v>137</v>
      </c>
      <c r="C72" s="4" t="str">
        <f ca="1">IFERROR(__xludf.DUMMYFUNCTION("GOOGLETRANSLATE(B72,""en"",""id"")"),"Pembayaran diterima hingga saat ini untuk sebagian dari jumlah total yang didanai oleh investor")</f>
        <v>Pembayaran diterima hingga saat ini untuk sebagian dari jumlah total yang didanai oleh investor</v>
      </c>
    </row>
    <row r="73" spans="1:3" ht="14.25" customHeight="1" x14ac:dyDescent="0.55000000000000004">
      <c r="A73" s="2" t="s">
        <v>138</v>
      </c>
      <c r="B73" s="3" t="s">
        <v>139</v>
      </c>
      <c r="C73" s="4" t="str">
        <f ca="1">IFERROR(__xludf.DUMMYFUNCTION("GOOGLETRANSLATE(B73,""en"",""id"")"),"Bunga diterima hingga saat ini")</f>
        <v>Bunga diterima hingga saat ini</v>
      </c>
    </row>
    <row r="74" spans="1:3" ht="14.25" customHeight="1" x14ac:dyDescent="0.55000000000000004">
      <c r="A74" s="15" t="s">
        <v>140</v>
      </c>
      <c r="B74" s="16" t="s">
        <v>141</v>
      </c>
      <c r="C74" s="18" t="str">
        <f ca="1">IFERROR(__xludf.DUMMYFUNCTION("GOOGLETRANSLATE(B74,""en"",""id"")"),"Biaya keterlambatan yang diterima hingga saat ini")</f>
        <v>Biaya keterlambatan yang diterima hingga saat ini</v>
      </c>
    </row>
    <row r="75" spans="1:3" ht="14.25" customHeight="1" x14ac:dyDescent="0.55000000000000004">
      <c r="A75" s="2" t="s">
        <v>142</v>
      </c>
      <c r="B75" s="3" t="s">
        <v>143</v>
      </c>
      <c r="C75" s="4" t="str">
        <f ca="1">IFERROR(__xludf.DUMMYFUNCTION("GOOGLETRANSLATE(B75,""en"",""id"")"),"Kepala sekolah diterima hingga saat ini")</f>
        <v>Kepala sekolah diterima hingga saat ini</v>
      </c>
    </row>
    <row r="76" spans="1:3" ht="14.25" customHeight="1" x14ac:dyDescent="0.55000000000000004">
      <c r="A76" s="5" t="s">
        <v>144</v>
      </c>
      <c r="B76" s="3" t="s">
        <v>145</v>
      </c>
      <c r="C76" s="4" t="str">
        <f ca="1">IFERROR(__xludf.DUMMYFUNCTION("GOOGLETRANSLATE(B76,""en"",""id"")"),"Total Batas Kredit/Kredit Tinggi Revolving")</f>
        <v>Total Batas Kredit/Kredit Tinggi Revolving</v>
      </c>
    </row>
    <row r="77" spans="1:3" ht="14.25" customHeight="1" x14ac:dyDescent="0.55000000000000004">
      <c r="A77" s="6" t="s">
        <v>146</v>
      </c>
      <c r="B77" s="3" t="s">
        <v>147</v>
      </c>
      <c r="C77" s="4" t="str">
        <f ca="1">IFERROR(__xludf.DUMMYFUNCTION("GOOGLETRANSLATE(B77,""en"",""id"")"),"URL untuk halaman LC dengan data daftar.")</f>
        <v>URL untuk halaman LC dengan data daftar.</v>
      </c>
    </row>
    <row r="78" spans="1:3" ht="14.25" customHeight="1" x14ac:dyDescent="0.55000000000000004">
      <c r="A78" s="2" t="s">
        <v>148</v>
      </c>
      <c r="B78" s="3" t="s">
        <v>149</v>
      </c>
      <c r="C78" s="4" t="str">
        <f ca="1">IFERROR(__xludf.DUMMYFUNCTION("GOOGLETRANSLATE(B78,""en"",""id"")"),"Menunjukkan jika pendapatan bersama co-peminjam diverifikasi oleh LC, tidak diverifikasi, atau jika sumber pendapatan diverifikasi")</f>
        <v>Menunjukkan jika pendapatan bersama co-peminjam diverifikasi oleh LC, tidak diverifikasi, atau jika sumber pendapatan diverifikasi</v>
      </c>
    </row>
    <row r="79" spans="1:3" ht="14.25" customHeight="1" x14ac:dyDescent="0.55000000000000004">
      <c r="A79" s="6" t="s">
        <v>150</v>
      </c>
      <c r="B79" s="3" t="s">
        <v>151</v>
      </c>
      <c r="C79" s="4" t="str">
        <f ca="1">IFERROR(__xludf.DUMMYFUNCTION("GOOGLETRANSLATE(B79,""en"",""id"")"),"3 nomor pertama dari kode pos yang disediakan oleh peminjam dalam aplikasi pinjaman.")</f>
        <v>3 nomor pertama dari kode pos yang disediakan oleh peminjam dalam aplikasi pinjaman.</v>
      </c>
    </row>
    <row r="80" spans="1:3" ht="14.25" customHeight="1" x14ac:dyDescent="0.55000000000000004">
      <c r="A80" s="20"/>
      <c r="B80" s="21"/>
      <c r="C80" s="22"/>
    </row>
    <row r="81" spans="1:3" ht="14.25" customHeight="1" x14ac:dyDescent="0.55000000000000004">
      <c r="A81" s="20"/>
      <c r="B81" s="11" t="s">
        <v>152</v>
      </c>
      <c r="C81" s="22"/>
    </row>
    <row r="82" spans="1:3" ht="14.25" customHeight="1" x14ac:dyDescent="0.55000000000000004">
      <c r="A82" s="20"/>
      <c r="B82" s="11"/>
      <c r="C82" s="22"/>
    </row>
    <row r="83" spans="1:3" ht="14.25" customHeight="1" x14ac:dyDescent="0.55000000000000004">
      <c r="A83" s="20"/>
      <c r="B83" s="11"/>
      <c r="C83" s="22"/>
    </row>
    <row r="84" spans="1:3" ht="14.25" customHeight="1" x14ac:dyDescent="0.55000000000000004">
      <c r="A84" s="20"/>
      <c r="B84" s="11"/>
      <c r="C84" s="22"/>
    </row>
    <row r="85" spans="1:3" ht="14.25" customHeight="1" x14ac:dyDescent="0.55000000000000004">
      <c r="A85" s="20"/>
      <c r="B85" s="11"/>
      <c r="C85" s="22"/>
    </row>
    <row r="86" spans="1:3" ht="14.25" customHeight="1" x14ac:dyDescent="0.55000000000000004">
      <c r="A86" s="20"/>
      <c r="B86" s="11"/>
      <c r="C86" s="22"/>
    </row>
    <row r="87" spans="1:3" ht="14.25" customHeight="1" x14ac:dyDescent="0.55000000000000004">
      <c r="A87" s="20"/>
      <c r="B87" s="11"/>
      <c r="C87" s="22"/>
    </row>
    <row r="88" spans="1:3" ht="14.25" customHeight="1" x14ac:dyDescent="0.55000000000000004">
      <c r="A88" s="20"/>
      <c r="B88" s="11"/>
      <c r="C88" s="22"/>
    </row>
    <row r="89" spans="1:3" ht="14.25" customHeight="1" x14ac:dyDescent="0.55000000000000004">
      <c r="A89" s="20"/>
      <c r="B89" s="11"/>
      <c r="C89" s="22"/>
    </row>
    <row r="90" spans="1:3" ht="14.25" customHeight="1" x14ac:dyDescent="0.55000000000000004">
      <c r="A90" s="20"/>
      <c r="B90" s="11"/>
      <c r="C90" s="22"/>
    </row>
    <row r="91" spans="1:3" ht="14.25" customHeight="1" x14ac:dyDescent="0.55000000000000004">
      <c r="A91" s="20"/>
      <c r="B91" s="11"/>
      <c r="C91" s="22"/>
    </row>
    <row r="92" spans="1:3" ht="14.25" customHeight="1" x14ac:dyDescent="0.55000000000000004">
      <c r="A92" s="20"/>
      <c r="B92" s="11"/>
      <c r="C92" s="22"/>
    </row>
    <row r="93" spans="1:3" ht="14.25" customHeight="1" x14ac:dyDescent="0.55000000000000004">
      <c r="A93" s="20"/>
      <c r="B93" s="11"/>
      <c r="C93" s="22"/>
    </row>
    <row r="94" spans="1:3" ht="14.25" customHeight="1" x14ac:dyDescent="0.55000000000000004">
      <c r="A94" s="20"/>
      <c r="B94" s="11"/>
      <c r="C94" s="22"/>
    </row>
    <row r="95" spans="1:3" ht="14.25" customHeight="1" x14ac:dyDescent="0.55000000000000004">
      <c r="A95" s="20"/>
      <c r="B95" s="11"/>
      <c r="C95" s="22"/>
    </row>
    <row r="96" spans="1:3" ht="14.25" customHeight="1" x14ac:dyDescent="0.55000000000000004">
      <c r="A96" s="20"/>
      <c r="B96" s="11"/>
      <c r="C96" s="22"/>
    </row>
    <row r="97" spans="1:3" ht="14.25" customHeight="1" x14ac:dyDescent="0.55000000000000004">
      <c r="A97" s="20"/>
      <c r="B97" s="11"/>
      <c r="C97" s="22"/>
    </row>
    <row r="98" spans="1:3" ht="14.25" customHeight="1" x14ac:dyDescent="0.55000000000000004">
      <c r="A98" s="23"/>
      <c r="B98" s="11"/>
      <c r="C98" s="22"/>
    </row>
    <row r="99" spans="1:3" ht="14.25" customHeight="1" x14ac:dyDescent="0.55000000000000004">
      <c r="A99" s="24" t="s">
        <v>153</v>
      </c>
      <c r="B99" s="11"/>
      <c r="C99" s="22"/>
    </row>
    <row r="100" spans="1:3" ht="14.25" customHeight="1" x14ac:dyDescent="0.55000000000000004">
      <c r="A100" s="20"/>
      <c r="B100" s="11"/>
      <c r="C100" s="22"/>
    </row>
    <row r="101" spans="1:3" ht="14.25" customHeight="1" x14ac:dyDescent="0.55000000000000004">
      <c r="A101" s="20"/>
      <c r="B101" s="11"/>
      <c r="C101" s="22"/>
    </row>
    <row r="102" spans="1:3" ht="14.25" customHeight="1" x14ac:dyDescent="0.55000000000000004">
      <c r="A102" s="20"/>
      <c r="B102" s="11"/>
      <c r="C102" s="22"/>
    </row>
    <row r="103" spans="1:3" ht="14.25" customHeight="1" x14ac:dyDescent="0.55000000000000004">
      <c r="A103" s="20"/>
      <c r="B103" s="11"/>
      <c r="C103" s="22"/>
    </row>
    <row r="104" spans="1:3" ht="14.25" customHeight="1" x14ac:dyDescent="0.55000000000000004">
      <c r="A104" s="20"/>
      <c r="B104" s="11"/>
      <c r="C104" s="22"/>
    </row>
    <row r="105" spans="1:3" ht="14.25" customHeight="1" x14ac:dyDescent="0.55000000000000004">
      <c r="A105" s="20"/>
      <c r="B105" s="11"/>
      <c r="C105" s="22"/>
    </row>
    <row r="106" spans="1:3" ht="14.25" customHeight="1" x14ac:dyDescent="0.55000000000000004">
      <c r="A106" s="20"/>
      <c r="B106" s="11"/>
      <c r="C106" s="22"/>
    </row>
    <row r="107" spans="1:3" ht="14.25" customHeight="1" x14ac:dyDescent="0.55000000000000004">
      <c r="A107" s="20"/>
      <c r="B107" s="11"/>
      <c r="C107" s="22"/>
    </row>
    <row r="108" spans="1:3" ht="14.25" customHeight="1" x14ac:dyDescent="0.55000000000000004">
      <c r="A108" s="20"/>
      <c r="B108" s="11"/>
      <c r="C108" s="22"/>
    </row>
    <row r="109" spans="1:3" ht="14.25" customHeight="1" x14ac:dyDescent="0.55000000000000004">
      <c r="A109" s="20"/>
      <c r="B109" s="11"/>
      <c r="C109" s="22"/>
    </row>
    <row r="110" spans="1:3" ht="14.25" customHeight="1" x14ac:dyDescent="0.55000000000000004">
      <c r="A110" s="20"/>
      <c r="B110" s="11"/>
      <c r="C110" s="22"/>
    </row>
    <row r="111" spans="1:3" ht="14.25" customHeight="1" x14ac:dyDescent="0.55000000000000004">
      <c r="A111" s="20"/>
      <c r="B111" s="11"/>
      <c r="C111" s="22"/>
    </row>
    <row r="112" spans="1:3" ht="14.25" customHeight="1" x14ac:dyDescent="0.55000000000000004">
      <c r="A112" s="20"/>
      <c r="B112" s="11"/>
      <c r="C112" s="22"/>
    </row>
    <row r="113" spans="1:3" ht="14.25" customHeight="1" x14ac:dyDescent="0.55000000000000004">
      <c r="A113" s="20"/>
      <c r="B113" s="11"/>
      <c r="C113" s="22"/>
    </row>
    <row r="114" spans="1:3" ht="14.25" customHeight="1" x14ac:dyDescent="0.55000000000000004">
      <c r="A114" s="20"/>
      <c r="B114" s="11"/>
      <c r="C114" s="22"/>
    </row>
    <row r="115" spans="1:3" ht="14.25" customHeight="1" x14ac:dyDescent="0.55000000000000004">
      <c r="A115" s="20"/>
      <c r="B115" s="11"/>
      <c r="C115" s="22"/>
    </row>
    <row r="116" spans="1:3" ht="14.25" customHeight="1" x14ac:dyDescent="0.55000000000000004">
      <c r="A116" s="20"/>
      <c r="B116" s="11"/>
      <c r="C116" s="22"/>
    </row>
    <row r="117" spans="1:3" ht="14.25" customHeight="1" x14ac:dyDescent="0.55000000000000004">
      <c r="A117" s="20"/>
      <c r="B117" s="11"/>
      <c r="C117" s="22"/>
    </row>
    <row r="118" spans="1:3" ht="14.25" customHeight="1" x14ac:dyDescent="0.55000000000000004">
      <c r="A118" s="20"/>
      <c r="B118" s="11"/>
      <c r="C118" s="22"/>
    </row>
    <row r="119" spans="1:3" ht="14.25" customHeight="1" x14ac:dyDescent="0.55000000000000004">
      <c r="A119" s="20"/>
      <c r="B119" s="11"/>
      <c r="C119" s="22"/>
    </row>
    <row r="120" spans="1:3" ht="14.25" customHeight="1" x14ac:dyDescent="0.55000000000000004">
      <c r="A120" s="20"/>
      <c r="B120" s="11"/>
      <c r="C120" s="22"/>
    </row>
    <row r="121" spans="1:3" ht="14.25" customHeight="1" x14ac:dyDescent="0.55000000000000004">
      <c r="A121" s="20"/>
      <c r="B121" s="11"/>
      <c r="C121" s="22"/>
    </row>
    <row r="122" spans="1:3" ht="14.25" customHeight="1" x14ac:dyDescent="0.55000000000000004">
      <c r="A122" s="20"/>
      <c r="B122" s="11"/>
      <c r="C122" s="22"/>
    </row>
    <row r="123" spans="1:3" ht="14.25" customHeight="1" x14ac:dyDescent="0.55000000000000004">
      <c r="A123" s="20"/>
      <c r="B123" s="11"/>
      <c r="C123" s="22"/>
    </row>
    <row r="124" spans="1:3" ht="14.25" customHeight="1" x14ac:dyDescent="0.55000000000000004">
      <c r="A124" s="20"/>
      <c r="B124" s="11"/>
      <c r="C124" s="22"/>
    </row>
    <row r="125" spans="1:3" ht="14.25" customHeight="1" x14ac:dyDescent="0.55000000000000004">
      <c r="A125" s="20"/>
      <c r="B125" s="11"/>
      <c r="C125" s="22"/>
    </row>
    <row r="126" spans="1:3" ht="14.25" customHeight="1" x14ac:dyDescent="0.55000000000000004">
      <c r="A126" s="20"/>
      <c r="B126" s="11"/>
      <c r="C126" s="22"/>
    </row>
    <row r="127" spans="1:3" ht="14.25" customHeight="1" x14ac:dyDescent="0.55000000000000004">
      <c r="A127" s="20"/>
      <c r="B127" s="11"/>
      <c r="C127" s="22"/>
    </row>
    <row r="128" spans="1:3" ht="14.25" customHeight="1" x14ac:dyDescent="0.55000000000000004">
      <c r="A128" s="20"/>
      <c r="B128" s="11"/>
      <c r="C128" s="22"/>
    </row>
    <row r="129" spans="1:3" ht="14.25" customHeight="1" x14ac:dyDescent="0.55000000000000004">
      <c r="A129" s="20"/>
      <c r="B129" s="11"/>
      <c r="C129" s="22"/>
    </row>
    <row r="130" spans="1:3" ht="14.25" customHeight="1" x14ac:dyDescent="0.55000000000000004">
      <c r="A130" s="20"/>
      <c r="B130" s="11"/>
      <c r="C130" s="22"/>
    </row>
    <row r="131" spans="1:3" ht="14.25" customHeight="1" x14ac:dyDescent="0.55000000000000004">
      <c r="A131" s="20"/>
      <c r="B131" s="11"/>
      <c r="C131" s="22"/>
    </row>
    <row r="132" spans="1:3" ht="14.25" customHeight="1" x14ac:dyDescent="0.55000000000000004">
      <c r="A132" s="20"/>
      <c r="B132" s="11"/>
      <c r="C132" s="22"/>
    </row>
    <row r="133" spans="1:3" ht="14.25" customHeight="1" x14ac:dyDescent="0.55000000000000004">
      <c r="A133" s="20"/>
      <c r="B133" s="11"/>
      <c r="C133" s="22"/>
    </row>
    <row r="134" spans="1:3" ht="14.25" customHeight="1" x14ac:dyDescent="0.55000000000000004">
      <c r="A134" s="20"/>
      <c r="B134" s="11"/>
      <c r="C134" s="22"/>
    </row>
    <row r="135" spans="1:3" ht="14.25" customHeight="1" x14ac:dyDescent="0.55000000000000004">
      <c r="A135" s="20"/>
      <c r="B135" s="11"/>
      <c r="C135" s="22"/>
    </row>
    <row r="136" spans="1:3" ht="14.25" customHeight="1" x14ac:dyDescent="0.55000000000000004">
      <c r="A136" s="20"/>
      <c r="B136" s="11"/>
      <c r="C136" s="22"/>
    </row>
    <row r="137" spans="1:3" ht="14.25" customHeight="1" x14ac:dyDescent="0.55000000000000004">
      <c r="A137" s="20"/>
      <c r="B137" s="11"/>
      <c r="C137" s="22"/>
    </row>
    <row r="138" spans="1:3" ht="14.25" customHeight="1" x14ac:dyDescent="0.55000000000000004">
      <c r="A138" s="20"/>
      <c r="B138" s="11"/>
      <c r="C138" s="22"/>
    </row>
    <row r="139" spans="1:3" ht="14.25" customHeight="1" x14ac:dyDescent="0.55000000000000004">
      <c r="A139" s="20"/>
      <c r="B139" s="11"/>
      <c r="C139" s="22"/>
    </row>
    <row r="140" spans="1:3" ht="14.25" customHeight="1" x14ac:dyDescent="0.55000000000000004">
      <c r="A140" s="20"/>
      <c r="B140" s="11"/>
      <c r="C140" s="22"/>
    </row>
    <row r="141" spans="1:3" ht="14.25" customHeight="1" x14ac:dyDescent="0.55000000000000004">
      <c r="A141" s="20"/>
      <c r="B141" s="11"/>
      <c r="C141" s="22"/>
    </row>
    <row r="142" spans="1:3" ht="14.25" customHeight="1" x14ac:dyDescent="0.55000000000000004">
      <c r="A142" s="20"/>
      <c r="B142" s="11"/>
      <c r="C142" s="22"/>
    </row>
    <row r="143" spans="1:3" ht="14.25" customHeight="1" x14ac:dyDescent="0.55000000000000004">
      <c r="A143" s="20"/>
      <c r="B143" s="11"/>
      <c r="C143" s="22"/>
    </row>
    <row r="144" spans="1:3" ht="14.25" customHeight="1" x14ac:dyDescent="0.55000000000000004">
      <c r="A144" s="20"/>
      <c r="B144" s="11"/>
      <c r="C144" s="22"/>
    </row>
    <row r="145" spans="1:3" ht="14.25" customHeight="1" x14ac:dyDescent="0.55000000000000004">
      <c r="A145" s="20"/>
      <c r="B145" s="11"/>
      <c r="C145" s="22"/>
    </row>
    <row r="146" spans="1:3" ht="14.25" customHeight="1" x14ac:dyDescent="0.55000000000000004">
      <c r="A146" s="20"/>
      <c r="B146" s="11"/>
      <c r="C146" s="22"/>
    </row>
    <row r="147" spans="1:3" ht="14.25" customHeight="1" x14ac:dyDescent="0.55000000000000004">
      <c r="A147" s="20"/>
      <c r="B147" s="11"/>
      <c r="C147" s="22"/>
    </row>
    <row r="148" spans="1:3" ht="14.25" customHeight="1" x14ac:dyDescent="0.55000000000000004">
      <c r="A148" s="20"/>
      <c r="B148" s="11"/>
      <c r="C148" s="22"/>
    </row>
    <row r="149" spans="1:3" ht="14.25" customHeight="1" x14ac:dyDescent="0.55000000000000004">
      <c r="A149" s="20"/>
      <c r="B149" s="11"/>
      <c r="C149" s="22"/>
    </row>
    <row r="150" spans="1:3" ht="14.25" customHeight="1" x14ac:dyDescent="0.55000000000000004">
      <c r="A150" s="20"/>
      <c r="B150" s="11"/>
      <c r="C150" s="22"/>
    </row>
    <row r="151" spans="1:3" ht="14.25" customHeight="1" x14ac:dyDescent="0.55000000000000004">
      <c r="A151" s="20"/>
      <c r="B151" s="11"/>
      <c r="C151" s="22"/>
    </row>
    <row r="152" spans="1:3" ht="14.25" customHeight="1" x14ac:dyDescent="0.55000000000000004">
      <c r="A152" s="20"/>
      <c r="B152" s="11"/>
      <c r="C152" s="22"/>
    </row>
    <row r="153" spans="1:3" ht="14.25" customHeight="1" x14ac:dyDescent="0.55000000000000004">
      <c r="A153" s="20"/>
      <c r="B153" s="11"/>
      <c r="C153" s="22"/>
    </row>
    <row r="154" spans="1:3" ht="14.25" customHeight="1" x14ac:dyDescent="0.55000000000000004">
      <c r="A154" s="20"/>
      <c r="B154" s="11"/>
      <c r="C154" s="22"/>
    </row>
    <row r="155" spans="1:3" ht="14.25" customHeight="1" x14ac:dyDescent="0.55000000000000004">
      <c r="A155" s="20"/>
      <c r="B155" s="11"/>
      <c r="C155" s="22"/>
    </row>
    <row r="156" spans="1:3" ht="14.25" customHeight="1" x14ac:dyDescent="0.55000000000000004">
      <c r="A156" s="20"/>
      <c r="B156" s="11"/>
      <c r="C156" s="22"/>
    </row>
    <row r="157" spans="1:3" ht="14.25" customHeight="1" x14ac:dyDescent="0.55000000000000004">
      <c r="A157" s="20"/>
      <c r="B157" s="11"/>
      <c r="C157" s="22"/>
    </row>
    <row r="158" spans="1:3" ht="14.25" customHeight="1" x14ac:dyDescent="0.55000000000000004">
      <c r="A158" s="20"/>
      <c r="B158" s="11"/>
      <c r="C158" s="22"/>
    </row>
    <row r="159" spans="1:3" ht="14.25" customHeight="1" x14ac:dyDescent="0.55000000000000004">
      <c r="A159" s="20"/>
      <c r="B159" s="11"/>
      <c r="C159" s="22"/>
    </row>
    <row r="160" spans="1:3" ht="14.25" customHeight="1" x14ac:dyDescent="0.55000000000000004">
      <c r="A160" s="20"/>
      <c r="B160" s="11"/>
      <c r="C160" s="22"/>
    </row>
    <row r="161" spans="1:3" ht="14.25" customHeight="1" x14ac:dyDescent="0.55000000000000004">
      <c r="A161" s="20"/>
      <c r="B161" s="11"/>
      <c r="C161" s="22"/>
    </row>
    <row r="162" spans="1:3" ht="14.25" customHeight="1" x14ac:dyDescent="0.55000000000000004">
      <c r="A162" s="20"/>
      <c r="B162" s="11"/>
      <c r="C162" s="22"/>
    </row>
    <row r="163" spans="1:3" ht="14.25" customHeight="1" x14ac:dyDescent="0.55000000000000004">
      <c r="A163" s="20"/>
      <c r="B163" s="11"/>
      <c r="C163" s="22"/>
    </row>
    <row r="164" spans="1:3" ht="14.25" customHeight="1" x14ac:dyDescent="0.55000000000000004">
      <c r="A164" s="20"/>
      <c r="B164" s="11"/>
      <c r="C164" s="22"/>
    </row>
    <row r="165" spans="1:3" ht="14.25" customHeight="1" x14ac:dyDescent="0.55000000000000004">
      <c r="A165" s="20"/>
      <c r="B165" s="11"/>
      <c r="C165" s="22"/>
    </row>
    <row r="166" spans="1:3" ht="14.25" customHeight="1" x14ac:dyDescent="0.55000000000000004">
      <c r="A166" s="20"/>
      <c r="B166" s="11"/>
      <c r="C166" s="22"/>
    </row>
    <row r="167" spans="1:3" ht="14.25" customHeight="1" x14ac:dyDescent="0.55000000000000004">
      <c r="A167" s="20"/>
      <c r="B167" s="11"/>
      <c r="C167" s="22"/>
    </row>
    <row r="168" spans="1:3" ht="14.25" customHeight="1" x14ac:dyDescent="0.55000000000000004">
      <c r="A168" s="20"/>
      <c r="B168" s="11"/>
      <c r="C168" s="22"/>
    </row>
    <row r="169" spans="1:3" ht="14.25" customHeight="1" x14ac:dyDescent="0.55000000000000004">
      <c r="A169" s="20"/>
      <c r="B169" s="11"/>
      <c r="C169" s="22"/>
    </row>
    <row r="170" spans="1:3" ht="14.25" customHeight="1" x14ac:dyDescent="0.55000000000000004">
      <c r="A170" s="20"/>
      <c r="B170" s="11"/>
      <c r="C170" s="22"/>
    </row>
    <row r="171" spans="1:3" ht="14.25" customHeight="1" x14ac:dyDescent="0.55000000000000004">
      <c r="A171" s="20"/>
      <c r="B171" s="11"/>
      <c r="C171" s="22"/>
    </row>
    <row r="172" spans="1:3" ht="14.25" customHeight="1" x14ac:dyDescent="0.55000000000000004">
      <c r="A172" s="20"/>
      <c r="B172" s="11"/>
      <c r="C172" s="22"/>
    </row>
    <row r="173" spans="1:3" ht="14.25" customHeight="1" x14ac:dyDescent="0.55000000000000004">
      <c r="A173" s="20"/>
      <c r="B173" s="11"/>
      <c r="C173" s="22"/>
    </row>
    <row r="174" spans="1:3" ht="14.25" customHeight="1" x14ac:dyDescent="0.55000000000000004">
      <c r="A174" s="20"/>
      <c r="B174" s="11"/>
      <c r="C174" s="22"/>
    </row>
    <row r="175" spans="1:3" ht="14.25" customHeight="1" x14ac:dyDescent="0.55000000000000004">
      <c r="A175" s="20"/>
      <c r="B175" s="11"/>
      <c r="C175" s="22"/>
    </row>
    <row r="176" spans="1:3" ht="14.25" customHeight="1" x14ac:dyDescent="0.55000000000000004">
      <c r="A176" s="20"/>
      <c r="B176" s="11"/>
      <c r="C176" s="22"/>
    </row>
    <row r="177" spans="1:3" ht="14.25" customHeight="1" x14ac:dyDescent="0.55000000000000004">
      <c r="A177" s="20"/>
      <c r="B177" s="11"/>
      <c r="C177" s="22"/>
    </row>
    <row r="178" spans="1:3" ht="14.25" customHeight="1" x14ac:dyDescent="0.55000000000000004">
      <c r="A178" s="20"/>
      <c r="B178" s="11"/>
      <c r="C178" s="22"/>
    </row>
    <row r="179" spans="1:3" ht="14.25" customHeight="1" x14ac:dyDescent="0.55000000000000004">
      <c r="A179" s="20"/>
      <c r="B179" s="11"/>
      <c r="C179" s="22"/>
    </row>
    <row r="180" spans="1:3" ht="14.25" customHeight="1" x14ac:dyDescent="0.55000000000000004">
      <c r="A180" s="20"/>
      <c r="B180" s="11"/>
      <c r="C180" s="22"/>
    </row>
    <row r="181" spans="1:3" ht="14.25" customHeight="1" x14ac:dyDescent="0.55000000000000004">
      <c r="A181" s="20"/>
      <c r="B181" s="11"/>
      <c r="C181" s="22"/>
    </row>
    <row r="182" spans="1:3" ht="14.25" customHeight="1" x14ac:dyDescent="0.55000000000000004">
      <c r="A182" s="20"/>
      <c r="B182" s="11"/>
      <c r="C182" s="22"/>
    </row>
    <row r="183" spans="1:3" ht="14.25" customHeight="1" x14ac:dyDescent="0.55000000000000004">
      <c r="A183" s="20"/>
      <c r="B183" s="11"/>
      <c r="C183" s="22"/>
    </row>
    <row r="184" spans="1:3" ht="14.25" customHeight="1" x14ac:dyDescent="0.55000000000000004">
      <c r="A184" s="20"/>
      <c r="B184" s="11"/>
      <c r="C184" s="22"/>
    </row>
    <row r="185" spans="1:3" ht="14.25" customHeight="1" x14ac:dyDescent="0.55000000000000004">
      <c r="A185" s="20"/>
      <c r="B185" s="11"/>
      <c r="C185" s="22"/>
    </row>
    <row r="186" spans="1:3" ht="14.25" customHeight="1" x14ac:dyDescent="0.55000000000000004">
      <c r="A186" s="20"/>
      <c r="B186" s="11"/>
      <c r="C186" s="22"/>
    </row>
    <row r="187" spans="1:3" ht="14.25" customHeight="1" x14ac:dyDescent="0.55000000000000004">
      <c r="A187" s="20"/>
      <c r="B187" s="11"/>
      <c r="C187" s="22"/>
    </row>
    <row r="188" spans="1:3" ht="14.25" customHeight="1" x14ac:dyDescent="0.55000000000000004">
      <c r="A188" s="20"/>
      <c r="B188" s="11"/>
      <c r="C188" s="22"/>
    </row>
    <row r="189" spans="1:3" ht="14.25" customHeight="1" x14ac:dyDescent="0.55000000000000004">
      <c r="A189" s="20"/>
      <c r="B189" s="11"/>
      <c r="C189" s="22"/>
    </row>
    <row r="190" spans="1:3" ht="14.25" customHeight="1" x14ac:dyDescent="0.55000000000000004">
      <c r="A190" s="20"/>
      <c r="B190" s="11"/>
      <c r="C190" s="22"/>
    </row>
    <row r="191" spans="1:3" ht="14.25" customHeight="1" x14ac:dyDescent="0.55000000000000004">
      <c r="A191" s="20"/>
      <c r="B191" s="11"/>
      <c r="C191" s="22"/>
    </row>
    <row r="192" spans="1:3" ht="14.25" customHeight="1" x14ac:dyDescent="0.55000000000000004">
      <c r="A192" s="20"/>
      <c r="B192" s="11"/>
      <c r="C192" s="22"/>
    </row>
    <row r="193" spans="1:3" ht="14.25" customHeight="1" x14ac:dyDescent="0.55000000000000004">
      <c r="A193" s="20"/>
      <c r="B193" s="11"/>
      <c r="C193" s="22"/>
    </row>
    <row r="194" spans="1:3" ht="14.25" customHeight="1" x14ac:dyDescent="0.55000000000000004">
      <c r="A194" s="20"/>
      <c r="B194" s="11"/>
      <c r="C194" s="22"/>
    </row>
    <row r="195" spans="1:3" ht="14.25" customHeight="1" x14ac:dyDescent="0.55000000000000004">
      <c r="A195" s="20"/>
      <c r="B195" s="11"/>
      <c r="C195" s="22"/>
    </row>
    <row r="196" spans="1:3" ht="14.25" customHeight="1" x14ac:dyDescent="0.55000000000000004">
      <c r="A196" s="20"/>
      <c r="B196" s="11"/>
      <c r="C196" s="22"/>
    </row>
    <row r="197" spans="1:3" ht="14.25" customHeight="1" x14ac:dyDescent="0.55000000000000004">
      <c r="A197" s="20"/>
      <c r="B197" s="11"/>
      <c r="C197" s="22"/>
    </row>
    <row r="198" spans="1:3" ht="14.25" customHeight="1" x14ac:dyDescent="0.55000000000000004">
      <c r="A198" s="20"/>
      <c r="B198" s="11"/>
      <c r="C198" s="22"/>
    </row>
    <row r="199" spans="1:3" ht="14.25" customHeight="1" x14ac:dyDescent="0.55000000000000004">
      <c r="A199" s="20"/>
      <c r="B199" s="11"/>
      <c r="C199" s="22"/>
    </row>
    <row r="200" spans="1:3" ht="14.25" customHeight="1" x14ac:dyDescent="0.55000000000000004">
      <c r="A200" s="20"/>
      <c r="B200" s="11"/>
      <c r="C200" s="22"/>
    </row>
    <row r="201" spans="1:3" ht="14.25" customHeight="1" x14ac:dyDescent="0.55000000000000004">
      <c r="A201" s="20"/>
      <c r="B201" s="11"/>
      <c r="C201" s="22"/>
    </row>
    <row r="202" spans="1:3" ht="14.25" customHeight="1" x14ac:dyDescent="0.55000000000000004">
      <c r="A202" s="20"/>
      <c r="B202" s="11"/>
      <c r="C202" s="22"/>
    </row>
    <row r="203" spans="1:3" ht="14.25" customHeight="1" x14ac:dyDescent="0.55000000000000004">
      <c r="A203" s="20"/>
      <c r="B203" s="11"/>
      <c r="C203" s="22"/>
    </row>
    <row r="204" spans="1:3" ht="14.25" customHeight="1" x14ac:dyDescent="0.55000000000000004">
      <c r="A204" s="20"/>
      <c r="B204" s="11"/>
      <c r="C204" s="22"/>
    </row>
    <row r="205" spans="1:3" ht="14.25" customHeight="1" x14ac:dyDescent="0.55000000000000004">
      <c r="A205" s="20"/>
      <c r="B205" s="11"/>
      <c r="C205" s="22"/>
    </row>
    <row r="206" spans="1:3" ht="14.25" customHeight="1" x14ac:dyDescent="0.55000000000000004">
      <c r="A206" s="20"/>
      <c r="B206" s="11"/>
      <c r="C206" s="22"/>
    </row>
    <row r="207" spans="1:3" ht="14.25" customHeight="1" x14ac:dyDescent="0.55000000000000004">
      <c r="A207" s="20"/>
      <c r="B207" s="11"/>
      <c r="C207" s="22"/>
    </row>
    <row r="208" spans="1:3" ht="14.25" customHeight="1" x14ac:dyDescent="0.55000000000000004">
      <c r="A208" s="20"/>
      <c r="B208" s="11"/>
      <c r="C208" s="22"/>
    </row>
    <row r="209" spans="1:3" ht="14.25" customHeight="1" x14ac:dyDescent="0.55000000000000004">
      <c r="A209" s="20"/>
      <c r="B209" s="11"/>
      <c r="C209" s="22"/>
    </row>
    <row r="210" spans="1:3" ht="14.25" customHeight="1" x14ac:dyDescent="0.55000000000000004">
      <c r="A210" s="20"/>
      <c r="B210" s="11"/>
      <c r="C210" s="22"/>
    </row>
    <row r="211" spans="1:3" ht="14.25" customHeight="1" x14ac:dyDescent="0.55000000000000004">
      <c r="A211" s="20"/>
      <c r="B211" s="11"/>
      <c r="C211" s="22"/>
    </row>
    <row r="212" spans="1:3" ht="14.25" customHeight="1" x14ac:dyDescent="0.55000000000000004">
      <c r="A212" s="20"/>
      <c r="B212" s="11"/>
      <c r="C212" s="22"/>
    </row>
    <row r="213" spans="1:3" ht="14.25" customHeight="1" x14ac:dyDescent="0.55000000000000004">
      <c r="A213" s="20"/>
      <c r="B213" s="11"/>
      <c r="C213" s="22"/>
    </row>
    <row r="214" spans="1:3" ht="14.25" customHeight="1" x14ac:dyDescent="0.55000000000000004">
      <c r="A214" s="20"/>
      <c r="B214" s="11"/>
      <c r="C214" s="22"/>
    </row>
    <row r="215" spans="1:3" ht="14.25" customHeight="1" x14ac:dyDescent="0.55000000000000004">
      <c r="A215" s="20"/>
      <c r="B215" s="11"/>
      <c r="C215" s="22"/>
    </row>
    <row r="216" spans="1:3" ht="14.25" customHeight="1" x14ac:dyDescent="0.55000000000000004">
      <c r="A216" s="20"/>
      <c r="B216" s="11"/>
      <c r="C216" s="22"/>
    </row>
    <row r="217" spans="1:3" ht="14.25" customHeight="1" x14ac:dyDescent="0.55000000000000004">
      <c r="A217" s="20"/>
      <c r="B217" s="11"/>
      <c r="C217" s="22"/>
    </row>
    <row r="218" spans="1:3" ht="14.25" customHeight="1" x14ac:dyDescent="0.55000000000000004">
      <c r="A218" s="20"/>
      <c r="B218" s="11"/>
      <c r="C218" s="22"/>
    </row>
    <row r="219" spans="1:3" ht="14.25" customHeight="1" x14ac:dyDescent="0.55000000000000004">
      <c r="A219" s="20"/>
      <c r="B219" s="11"/>
      <c r="C219" s="22"/>
    </row>
    <row r="220" spans="1:3" ht="14.25" customHeight="1" x14ac:dyDescent="0.55000000000000004">
      <c r="A220" s="20"/>
      <c r="B220" s="11"/>
      <c r="C220" s="22"/>
    </row>
    <row r="221" spans="1:3" ht="14.25" customHeight="1" x14ac:dyDescent="0.55000000000000004">
      <c r="A221" s="20"/>
      <c r="B221" s="11"/>
      <c r="C221" s="22"/>
    </row>
    <row r="222" spans="1:3" ht="14.25" customHeight="1" x14ac:dyDescent="0.55000000000000004">
      <c r="A222" s="20"/>
      <c r="B222" s="11"/>
      <c r="C222" s="22"/>
    </row>
    <row r="223" spans="1:3" ht="14.25" customHeight="1" x14ac:dyDescent="0.55000000000000004">
      <c r="A223" s="20"/>
      <c r="B223" s="11"/>
      <c r="C223" s="22"/>
    </row>
    <row r="224" spans="1:3" ht="14.25" customHeight="1" x14ac:dyDescent="0.55000000000000004">
      <c r="A224" s="20"/>
      <c r="B224" s="11"/>
      <c r="C224" s="22"/>
    </row>
    <row r="225" spans="1:3" ht="14.25" customHeight="1" x14ac:dyDescent="0.55000000000000004">
      <c r="A225" s="20"/>
      <c r="B225" s="11"/>
      <c r="C225" s="22"/>
    </row>
    <row r="226" spans="1:3" ht="14.25" customHeight="1" x14ac:dyDescent="0.55000000000000004">
      <c r="A226" s="20"/>
      <c r="B226" s="11"/>
      <c r="C226" s="22"/>
    </row>
    <row r="227" spans="1:3" ht="14.25" customHeight="1" x14ac:dyDescent="0.55000000000000004">
      <c r="A227" s="20"/>
      <c r="B227" s="11"/>
      <c r="C227" s="22"/>
    </row>
    <row r="228" spans="1:3" ht="14.25" customHeight="1" x14ac:dyDescent="0.55000000000000004">
      <c r="A228" s="20"/>
      <c r="B228" s="11"/>
      <c r="C228" s="22"/>
    </row>
    <row r="229" spans="1:3" ht="14.25" customHeight="1" x14ac:dyDescent="0.55000000000000004">
      <c r="A229" s="20"/>
      <c r="B229" s="11"/>
      <c r="C229" s="22"/>
    </row>
    <row r="230" spans="1:3" ht="14.25" customHeight="1" x14ac:dyDescent="0.55000000000000004">
      <c r="A230" s="20"/>
      <c r="B230" s="11"/>
      <c r="C230" s="22"/>
    </row>
    <row r="231" spans="1:3" ht="14.25" customHeight="1" x14ac:dyDescent="0.55000000000000004">
      <c r="A231" s="20"/>
      <c r="B231" s="11"/>
      <c r="C231" s="22"/>
    </row>
    <row r="232" spans="1:3" ht="14.25" customHeight="1" x14ac:dyDescent="0.55000000000000004">
      <c r="A232" s="20"/>
      <c r="B232" s="11"/>
      <c r="C232" s="22"/>
    </row>
    <row r="233" spans="1:3" ht="14.25" customHeight="1" x14ac:dyDescent="0.55000000000000004">
      <c r="A233" s="20"/>
      <c r="B233" s="11"/>
      <c r="C233" s="22"/>
    </row>
    <row r="234" spans="1:3" ht="14.25" customHeight="1" x14ac:dyDescent="0.55000000000000004">
      <c r="A234" s="20"/>
      <c r="B234" s="11"/>
      <c r="C234" s="22"/>
    </row>
    <row r="235" spans="1:3" ht="14.25" customHeight="1" x14ac:dyDescent="0.55000000000000004">
      <c r="A235" s="20"/>
      <c r="B235" s="11"/>
      <c r="C235" s="22"/>
    </row>
    <row r="236" spans="1:3" ht="14.25" customHeight="1" x14ac:dyDescent="0.55000000000000004">
      <c r="A236" s="20"/>
      <c r="B236" s="11"/>
      <c r="C236" s="22"/>
    </row>
    <row r="237" spans="1:3" ht="14.25" customHeight="1" x14ac:dyDescent="0.55000000000000004">
      <c r="A237" s="20"/>
      <c r="B237" s="11"/>
      <c r="C237" s="22"/>
    </row>
    <row r="238" spans="1:3" ht="14.25" customHeight="1" x14ac:dyDescent="0.55000000000000004">
      <c r="A238" s="20"/>
      <c r="B238" s="11"/>
      <c r="C238" s="22"/>
    </row>
    <row r="239" spans="1:3" ht="14.25" customHeight="1" x14ac:dyDescent="0.55000000000000004">
      <c r="A239" s="20"/>
      <c r="B239" s="11"/>
      <c r="C239" s="22"/>
    </row>
    <row r="240" spans="1:3" ht="14.25" customHeight="1" x14ac:dyDescent="0.55000000000000004">
      <c r="A240" s="20"/>
      <c r="B240" s="11"/>
      <c r="C240" s="22"/>
    </row>
    <row r="241" spans="1:3" ht="14.25" customHeight="1" x14ac:dyDescent="0.55000000000000004">
      <c r="A241" s="20"/>
      <c r="B241" s="11"/>
      <c r="C241" s="22"/>
    </row>
    <row r="242" spans="1:3" ht="14.25" customHeight="1" x14ac:dyDescent="0.55000000000000004">
      <c r="A242" s="20"/>
      <c r="B242" s="11"/>
      <c r="C242" s="22"/>
    </row>
    <row r="243" spans="1:3" ht="14.25" customHeight="1" x14ac:dyDescent="0.55000000000000004">
      <c r="A243" s="20"/>
      <c r="B243" s="11"/>
      <c r="C243" s="22"/>
    </row>
    <row r="244" spans="1:3" ht="14.25" customHeight="1" x14ac:dyDescent="0.55000000000000004">
      <c r="A244" s="20"/>
      <c r="B244" s="11"/>
      <c r="C244" s="22"/>
    </row>
    <row r="245" spans="1:3" ht="14.25" customHeight="1" x14ac:dyDescent="0.55000000000000004">
      <c r="A245" s="20"/>
      <c r="B245" s="11"/>
      <c r="C245" s="22"/>
    </row>
    <row r="246" spans="1:3" ht="14.25" customHeight="1" x14ac:dyDescent="0.55000000000000004">
      <c r="A246" s="20"/>
      <c r="B246" s="11"/>
      <c r="C246" s="22"/>
    </row>
    <row r="247" spans="1:3" ht="14.25" customHeight="1" x14ac:dyDescent="0.55000000000000004">
      <c r="A247" s="20"/>
      <c r="B247" s="11"/>
      <c r="C247" s="22"/>
    </row>
    <row r="248" spans="1:3" ht="14.25" customHeight="1" x14ac:dyDescent="0.55000000000000004">
      <c r="A248" s="20"/>
      <c r="B248" s="11"/>
      <c r="C248" s="22"/>
    </row>
    <row r="249" spans="1:3" ht="14.25" customHeight="1" x14ac:dyDescent="0.55000000000000004">
      <c r="A249" s="20"/>
      <c r="B249" s="11"/>
      <c r="C249" s="22"/>
    </row>
    <row r="250" spans="1:3" ht="14.25" customHeight="1" x14ac:dyDescent="0.55000000000000004">
      <c r="A250" s="20"/>
      <c r="B250" s="11"/>
      <c r="C250" s="22"/>
    </row>
    <row r="251" spans="1:3" ht="14.25" customHeight="1" x14ac:dyDescent="0.55000000000000004">
      <c r="A251" s="20"/>
      <c r="B251" s="11"/>
      <c r="C251" s="22"/>
    </row>
    <row r="252" spans="1:3" ht="14.25" customHeight="1" x14ac:dyDescent="0.55000000000000004">
      <c r="A252" s="20"/>
      <c r="B252" s="11"/>
      <c r="C252" s="22"/>
    </row>
    <row r="253" spans="1:3" ht="14.25" customHeight="1" x14ac:dyDescent="0.55000000000000004">
      <c r="A253" s="20"/>
      <c r="B253" s="11"/>
      <c r="C253" s="22"/>
    </row>
    <row r="254" spans="1:3" ht="14.25" customHeight="1" x14ac:dyDescent="0.55000000000000004">
      <c r="A254" s="20"/>
      <c r="B254" s="11"/>
      <c r="C254" s="22"/>
    </row>
    <row r="255" spans="1:3" ht="14.25" customHeight="1" x14ac:dyDescent="0.55000000000000004">
      <c r="A255" s="20"/>
      <c r="B255" s="11"/>
      <c r="C255" s="22"/>
    </row>
    <row r="256" spans="1:3" ht="14.25" customHeight="1" x14ac:dyDescent="0.55000000000000004">
      <c r="A256" s="20"/>
      <c r="B256" s="11"/>
      <c r="C256" s="22"/>
    </row>
    <row r="257" spans="1:3" ht="14.25" customHeight="1" x14ac:dyDescent="0.55000000000000004">
      <c r="A257" s="20"/>
      <c r="B257" s="11"/>
      <c r="C257" s="22"/>
    </row>
    <row r="258" spans="1:3" ht="14.25" customHeight="1" x14ac:dyDescent="0.55000000000000004">
      <c r="A258" s="20"/>
      <c r="B258" s="11"/>
      <c r="C258" s="22"/>
    </row>
    <row r="259" spans="1:3" ht="14.25" customHeight="1" x14ac:dyDescent="0.55000000000000004">
      <c r="A259" s="20"/>
      <c r="B259" s="11"/>
      <c r="C259" s="22"/>
    </row>
    <row r="260" spans="1:3" ht="14.25" customHeight="1" x14ac:dyDescent="0.55000000000000004">
      <c r="A260" s="20"/>
      <c r="B260" s="11"/>
      <c r="C260" s="22"/>
    </row>
    <row r="261" spans="1:3" ht="14.25" customHeight="1" x14ac:dyDescent="0.55000000000000004">
      <c r="A261" s="20"/>
      <c r="B261" s="11"/>
      <c r="C261" s="22"/>
    </row>
    <row r="262" spans="1:3" ht="14.25" customHeight="1" x14ac:dyDescent="0.55000000000000004">
      <c r="A262" s="20"/>
      <c r="B262" s="11"/>
      <c r="C262" s="22"/>
    </row>
    <row r="263" spans="1:3" ht="14.25" customHeight="1" x14ac:dyDescent="0.55000000000000004">
      <c r="A263" s="20"/>
      <c r="B263" s="11"/>
      <c r="C263" s="22"/>
    </row>
    <row r="264" spans="1:3" ht="14.25" customHeight="1" x14ac:dyDescent="0.55000000000000004">
      <c r="A264" s="20"/>
      <c r="B264" s="11"/>
      <c r="C264" s="22"/>
    </row>
    <row r="265" spans="1:3" ht="14.25" customHeight="1" x14ac:dyDescent="0.55000000000000004">
      <c r="A265" s="20"/>
      <c r="B265" s="11"/>
      <c r="C265" s="22"/>
    </row>
    <row r="266" spans="1:3" ht="14.25" customHeight="1" x14ac:dyDescent="0.55000000000000004">
      <c r="A266" s="20"/>
      <c r="B266" s="11"/>
      <c r="C266" s="22"/>
    </row>
    <row r="267" spans="1:3" ht="14.25" customHeight="1" x14ac:dyDescent="0.55000000000000004">
      <c r="A267" s="20"/>
      <c r="B267" s="11"/>
      <c r="C267" s="22"/>
    </row>
    <row r="268" spans="1:3" ht="14.25" customHeight="1" x14ac:dyDescent="0.55000000000000004">
      <c r="A268" s="20"/>
      <c r="B268" s="11"/>
      <c r="C268" s="22"/>
    </row>
    <row r="269" spans="1:3" ht="14.25" customHeight="1" x14ac:dyDescent="0.55000000000000004">
      <c r="A269" s="20"/>
      <c r="B269" s="11"/>
      <c r="C269" s="22"/>
    </row>
    <row r="270" spans="1:3" ht="14.25" customHeight="1" x14ac:dyDescent="0.55000000000000004">
      <c r="A270" s="20"/>
      <c r="B270" s="11"/>
      <c r="C270" s="22"/>
    </row>
    <row r="271" spans="1:3" ht="14.25" customHeight="1" x14ac:dyDescent="0.55000000000000004">
      <c r="A271" s="20"/>
      <c r="B271" s="11"/>
      <c r="C271" s="22"/>
    </row>
    <row r="272" spans="1:3" ht="14.25" customHeight="1" x14ac:dyDescent="0.55000000000000004">
      <c r="A272" s="20"/>
      <c r="B272" s="11"/>
      <c r="C272" s="22"/>
    </row>
    <row r="273" spans="1:3" ht="14.25" customHeight="1" x14ac:dyDescent="0.55000000000000004">
      <c r="A273" s="20"/>
      <c r="B273" s="11"/>
      <c r="C273" s="22"/>
    </row>
    <row r="274" spans="1:3" ht="14.25" customHeight="1" x14ac:dyDescent="0.55000000000000004">
      <c r="A274" s="20"/>
      <c r="B274" s="11"/>
      <c r="C274" s="22"/>
    </row>
    <row r="275" spans="1:3" ht="14.25" customHeight="1" x14ac:dyDescent="0.55000000000000004">
      <c r="A275" s="20"/>
      <c r="B275" s="11"/>
      <c r="C275" s="22"/>
    </row>
    <row r="276" spans="1:3" ht="14.25" customHeight="1" x14ac:dyDescent="0.55000000000000004">
      <c r="A276" s="20"/>
      <c r="B276" s="11"/>
      <c r="C276" s="22"/>
    </row>
    <row r="277" spans="1:3" ht="14.25" customHeight="1" x14ac:dyDescent="0.55000000000000004">
      <c r="A277" s="20"/>
      <c r="B277" s="11"/>
      <c r="C277" s="22"/>
    </row>
    <row r="278" spans="1:3" ht="14.25" customHeight="1" x14ac:dyDescent="0.55000000000000004">
      <c r="A278" s="20"/>
      <c r="B278" s="11"/>
      <c r="C278" s="22"/>
    </row>
    <row r="279" spans="1:3" ht="14.25" customHeight="1" x14ac:dyDescent="0.55000000000000004">
      <c r="A279" s="20"/>
      <c r="B279" s="11"/>
      <c r="C279" s="22"/>
    </row>
    <row r="280" spans="1:3" ht="14.25" customHeight="1" x14ac:dyDescent="0.55000000000000004">
      <c r="A280" s="20"/>
      <c r="B280" s="11"/>
      <c r="C280" s="22"/>
    </row>
    <row r="281" spans="1:3" ht="14.25" customHeight="1" x14ac:dyDescent="0.55000000000000004">
      <c r="A281" s="20"/>
      <c r="B281" s="11"/>
      <c r="C281" s="22"/>
    </row>
    <row r="282" spans="1:3" ht="14.25" customHeight="1" x14ac:dyDescent="0.55000000000000004">
      <c r="A282" s="20"/>
      <c r="B282" s="11"/>
      <c r="C282" s="22"/>
    </row>
    <row r="283" spans="1:3" ht="14.25" customHeight="1" x14ac:dyDescent="0.55000000000000004">
      <c r="A283" s="20"/>
      <c r="B283" s="11"/>
      <c r="C283" s="22"/>
    </row>
    <row r="284" spans="1:3" ht="14.25" customHeight="1" x14ac:dyDescent="0.55000000000000004">
      <c r="A284" s="20"/>
      <c r="B284" s="11"/>
      <c r="C284" s="22"/>
    </row>
    <row r="285" spans="1:3" ht="14.25" customHeight="1" x14ac:dyDescent="0.55000000000000004">
      <c r="A285" s="20"/>
      <c r="B285" s="11"/>
      <c r="C285" s="22"/>
    </row>
    <row r="286" spans="1:3" ht="14.25" customHeight="1" x14ac:dyDescent="0.55000000000000004">
      <c r="A286" s="20"/>
      <c r="B286" s="11"/>
      <c r="C286" s="22"/>
    </row>
    <row r="287" spans="1:3" ht="14.25" customHeight="1" x14ac:dyDescent="0.55000000000000004">
      <c r="A287" s="20"/>
      <c r="B287" s="11"/>
      <c r="C287" s="22"/>
    </row>
    <row r="288" spans="1:3" ht="14.25" customHeight="1" x14ac:dyDescent="0.55000000000000004">
      <c r="A288" s="20"/>
      <c r="B288" s="11"/>
      <c r="C288" s="22"/>
    </row>
    <row r="289" spans="1:3" ht="14.25" customHeight="1" x14ac:dyDescent="0.55000000000000004">
      <c r="A289" s="20"/>
      <c r="B289" s="11"/>
      <c r="C289" s="22"/>
    </row>
    <row r="290" spans="1:3" ht="14.25" customHeight="1" x14ac:dyDescent="0.55000000000000004">
      <c r="A290" s="20"/>
      <c r="B290" s="11"/>
      <c r="C290" s="22"/>
    </row>
    <row r="291" spans="1:3" ht="14.25" customHeight="1" x14ac:dyDescent="0.55000000000000004">
      <c r="A291" s="20"/>
      <c r="B291" s="11"/>
      <c r="C291" s="22"/>
    </row>
    <row r="292" spans="1:3" ht="14.25" customHeight="1" x14ac:dyDescent="0.55000000000000004">
      <c r="A292" s="20"/>
      <c r="B292" s="11"/>
      <c r="C292" s="22"/>
    </row>
    <row r="293" spans="1:3" ht="14.25" customHeight="1" x14ac:dyDescent="0.55000000000000004">
      <c r="A293" s="20"/>
      <c r="B293" s="11"/>
      <c r="C293" s="22"/>
    </row>
    <row r="294" spans="1:3" ht="14.25" customHeight="1" x14ac:dyDescent="0.55000000000000004">
      <c r="A294" s="20"/>
      <c r="B294" s="11"/>
      <c r="C294" s="22"/>
    </row>
    <row r="295" spans="1:3" ht="14.25" customHeight="1" x14ac:dyDescent="0.55000000000000004">
      <c r="A295" s="20"/>
      <c r="B295" s="11"/>
      <c r="C295" s="22"/>
    </row>
    <row r="296" spans="1:3" ht="14.25" customHeight="1" x14ac:dyDescent="0.55000000000000004">
      <c r="A296" s="20"/>
      <c r="B296" s="11"/>
      <c r="C296" s="22"/>
    </row>
    <row r="297" spans="1:3" ht="14.25" customHeight="1" x14ac:dyDescent="0.55000000000000004">
      <c r="A297" s="20"/>
      <c r="B297" s="11"/>
      <c r="C297" s="22"/>
    </row>
    <row r="298" spans="1:3" ht="14.25" customHeight="1" x14ac:dyDescent="0.55000000000000004">
      <c r="A298" s="20"/>
      <c r="B298" s="11"/>
      <c r="C298" s="22"/>
    </row>
    <row r="299" spans="1:3" ht="14.25" customHeight="1" x14ac:dyDescent="0.55000000000000004">
      <c r="A299" s="20"/>
      <c r="B299" s="11"/>
      <c r="C299" s="22"/>
    </row>
    <row r="300" spans="1:3" ht="14.25" customHeight="1" x14ac:dyDescent="0.55000000000000004">
      <c r="A300" s="20"/>
      <c r="B300" s="11"/>
      <c r="C300" s="22"/>
    </row>
    <row r="301" spans="1:3" ht="14.25" customHeight="1" x14ac:dyDescent="0.55000000000000004">
      <c r="A301" s="20"/>
      <c r="B301" s="11"/>
      <c r="C301" s="22"/>
    </row>
    <row r="302" spans="1:3" ht="14.25" customHeight="1" x14ac:dyDescent="0.55000000000000004">
      <c r="A302" s="20"/>
      <c r="B302" s="11"/>
      <c r="C302" s="22"/>
    </row>
    <row r="303" spans="1:3" ht="14.25" customHeight="1" x14ac:dyDescent="0.55000000000000004">
      <c r="A303" s="20"/>
      <c r="B303" s="11"/>
      <c r="C303" s="22"/>
    </row>
    <row r="304" spans="1:3" ht="14.25" customHeight="1" x14ac:dyDescent="0.55000000000000004">
      <c r="A304" s="20"/>
      <c r="B304" s="11"/>
      <c r="C304" s="22"/>
    </row>
    <row r="305" spans="1:3" ht="14.25" customHeight="1" x14ac:dyDescent="0.55000000000000004">
      <c r="A305" s="20"/>
      <c r="B305" s="11"/>
      <c r="C305" s="22"/>
    </row>
    <row r="306" spans="1:3" ht="14.25" customHeight="1" x14ac:dyDescent="0.55000000000000004">
      <c r="A306" s="20"/>
      <c r="B306" s="11"/>
      <c r="C306" s="22"/>
    </row>
    <row r="307" spans="1:3" ht="14.25" customHeight="1" x14ac:dyDescent="0.55000000000000004">
      <c r="A307" s="20"/>
      <c r="B307" s="11"/>
      <c r="C307" s="22"/>
    </row>
    <row r="308" spans="1:3" ht="14.25" customHeight="1" x14ac:dyDescent="0.55000000000000004">
      <c r="A308" s="20"/>
      <c r="B308" s="11"/>
      <c r="C308" s="22"/>
    </row>
    <row r="309" spans="1:3" ht="14.25" customHeight="1" x14ac:dyDescent="0.55000000000000004">
      <c r="A309" s="20"/>
      <c r="B309" s="11"/>
      <c r="C309" s="22"/>
    </row>
    <row r="310" spans="1:3" ht="14.25" customHeight="1" x14ac:dyDescent="0.55000000000000004">
      <c r="A310" s="20"/>
      <c r="B310" s="11"/>
      <c r="C310" s="22"/>
    </row>
    <row r="311" spans="1:3" ht="14.25" customHeight="1" x14ac:dyDescent="0.55000000000000004">
      <c r="A311" s="20"/>
      <c r="B311" s="11"/>
      <c r="C311" s="22"/>
    </row>
    <row r="312" spans="1:3" ht="14.25" customHeight="1" x14ac:dyDescent="0.55000000000000004">
      <c r="A312" s="20"/>
      <c r="B312" s="11"/>
      <c r="C312" s="22"/>
    </row>
    <row r="313" spans="1:3" ht="14.25" customHeight="1" x14ac:dyDescent="0.55000000000000004">
      <c r="A313" s="20"/>
      <c r="B313" s="11"/>
      <c r="C313" s="22"/>
    </row>
    <row r="314" spans="1:3" ht="14.25" customHeight="1" x14ac:dyDescent="0.55000000000000004">
      <c r="A314" s="20"/>
      <c r="B314" s="11"/>
      <c r="C314" s="22"/>
    </row>
    <row r="315" spans="1:3" ht="14.25" customHeight="1" x14ac:dyDescent="0.55000000000000004">
      <c r="A315" s="20"/>
      <c r="B315" s="11"/>
      <c r="C315" s="22"/>
    </row>
    <row r="316" spans="1:3" ht="14.25" customHeight="1" x14ac:dyDescent="0.55000000000000004">
      <c r="A316" s="20"/>
      <c r="B316" s="11"/>
      <c r="C316" s="22"/>
    </row>
    <row r="317" spans="1:3" ht="14.25" customHeight="1" x14ac:dyDescent="0.55000000000000004">
      <c r="A317" s="20"/>
      <c r="B317" s="11"/>
      <c r="C317" s="22"/>
    </row>
    <row r="318" spans="1:3" ht="14.25" customHeight="1" x14ac:dyDescent="0.55000000000000004">
      <c r="A318" s="20"/>
      <c r="B318" s="11"/>
      <c r="C318" s="22"/>
    </row>
    <row r="319" spans="1:3" ht="14.25" customHeight="1" x14ac:dyDescent="0.55000000000000004">
      <c r="A319" s="20"/>
      <c r="B319" s="11"/>
      <c r="C319" s="22"/>
    </row>
    <row r="320" spans="1:3" ht="14.25" customHeight="1" x14ac:dyDescent="0.55000000000000004">
      <c r="A320" s="20"/>
      <c r="B320" s="11"/>
      <c r="C320" s="22"/>
    </row>
    <row r="321" spans="1:3" ht="14.25" customHeight="1" x14ac:dyDescent="0.55000000000000004">
      <c r="A321" s="20"/>
      <c r="B321" s="11"/>
      <c r="C321" s="22"/>
    </row>
    <row r="322" spans="1:3" ht="14.25" customHeight="1" x14ac:dyDescent="0.55000000000000004">
      <c r="A322" s="20"/>
      <c r="B322" s="11"/>
      <c r="C322" s="22"/>
    </row>
    <row r="323" spans="1:3" ht="14.25" customHeight="1" x14ac:dyDescent="0.55000000000000004">
      <c r="A323" s="20"/>
      <c r="B323" s="11"/>
      <c r="C323" s="22"/>
    </row>
    <row r="324" spans="1:3" ht="14.25" customHeight="1" x14ac:dyDescent="0.55000000000000004">
      <c r="A324" s="20"/>
      <c r="B324" s="11"/>
      <c r="C324" s="22"/>
    </row>
    <row r="325" spans="1:3" ht="14.25" customHeight="1" x14ac:dyDescent="0.55000000000000004">
      <c r="A325" s="20"/>
      <c r="B325" s="11"/>
      <c r="C325" s="22"/>
    </row>
    <row r="326" spans="1:3" ht="14.25" customHeight="1" x14ac:dyDescent="0.55000000000000004">
      <c r="A326" s="20"/>
      <c r="B326" s="11"/>
      <c r="C326" s="22"/>
    </row>
    <row r="327" spans="1:3" ht="14.25" customHeight="1" x14ac:dyDescent="0.55000000000000004">
      <c r="A327" s="20"/>
      <c r="B327" s="11"/>
      <c r="C327" s="22"/>
    </row>
    <row r="328" spans="1:3" ht="14.25" customHeight="1" x14ac:dyDescent="0.55000000000000004">
      <c r="A328" s="20"/>
      <c r="B328" s="11"/>
      <c r="C328" s="22"/>
    </row>
    <row r="329" spans="1:3" ht="14.25" customHeight="1" x14ac:dyDescent="0.55000000000000004">
      <c r="A329" s="20"/>
      <c r="B329" s="11"/>
      <c r="C329" s="22"/>
    </row>
    <row r="330" spans="1:3" ht="14.25" customHeight="1" x14ac:dyDescent="0.55000000000000004">
      <c r="A330" s="20"/>
      <c r="B330" s="11"/>
      <c r="C330" s="22"/>
    </row>
    <row r="331" spans="1:3" ht="14.25" customHeight="1" x14ac:dyDescent="0.55000000000000004">
      <c r="A331" s="20"/>
      <c r="B331" s="11"/>
      <c r="C331" s="22"/>
    </row>
    <row r="332" spans="1:3" ht="14.25" customHeight="1" x14ac:dyDescent="0.55000000000000004">
      <c r="A332" s="20"/>
      <c r="B332" s="11"/>
      <c r="C332" s="22"/>
    </row>
    <row r="333" spans="1:3" ht="14.25" customHeight="1" x14ac:dyDescent="0.55000000000000004">
      <c r="A333" s="20"/>
      <c r="B333" s="11"/>
      <c r="C333" s="22"/>
    </row>
    <row r="334" spans="1:3" ht="14.25" customHeight="1" x14ac:dyDescent="0.55000000000000004">
      <c r="A334" s="20"/>
      <c r="B334" s="11"/>
      <c r="C334" s="22"/>
    </row>
    <row r="335" spans="1:3" ht="14.25" customHeight="1" x14ac:dyDescent="0.55000000000000004">
      <c r="A335" s="20"/>
      <c r="B335" s="11"/>
      <c r="C335" s="22"/>
    </row>
    <row r="336" spans="1:3" ht="14.25" customHeight="1" x14ac:dyDescent="0.55000000000000004">
      <c r="A336" s="20"/>
      <c r="B336" s="11"/>
      <c r="C336" s="22"/>
    </row>
    <row r="337" spans="1:3" ht="14.25" customHeight="1" x14ac:dyDescent="0.55000000000000004">
      <c r="A337" s="20"/>
      <c r="B337" s="11"/>
      <c r="C337" s="22"/>
    </row>
    <row r="338" spans="1:3" ht="14.25" customHeight="1" x14ac:dyDescent="0.55000000000000004">
      <c r="A338" s="20"/>
      <c r="B338" s="11"/>
      <c r="C338" s="22"/>
    </row>
    <row r="339" spans="1:3" ht="14.25" customHeight="1" x14ac:dyDescent="0.55000000000000004">
      <c r="A339" s="20"/>
      <c r="B339" s="11"/>
      <c r="C339" s="22"/>
    </row>
    <row r="340" spans="1:3" ht="14.25" customHeight="1" x14ac:dyDescent="0.55000000000000004">
      <c r="A340" s="20"/>
      <c r="B340" s="11"/>
      <c r="C340" s="22"/>
    </row>
    <row r="341" spans="1:3" ht="14.25" customHeight="1" x14ac:dyDescent="0.55000000000000004">
      <c r="A341" s="20"/>
      <c r="B341" s="11"/>
      <c r="C341" s="22"/>
    </row>
    <row r="342" spans="1:3" ht="14.25" customHeight="1" x14ac:dyDescent="0.55000000000000004">
      <c r="A342" s="20"/>
      <c r="B342" s="11"/>
      <c r="C342" s="22"/>
    </row>
    <row r="343" spans="1:3" ht="14.25" customHeight="1" x14ac:dyDescent="0.55000000000000004">
      <c r="A343" s="20"/>
      <c r="B343" s="11"/>
      <c r="C343" s="22"/>
    </row>
    <row r="344" spans="1:3" ht="14.25" customHeight="1" x14ac:dyDescent="0.55000000000000004">
      <c r="A344" s="20"/>
      <c r="B344" s="11"/>
      <c r="C344" s="22"/>
    </row>
    <row r="345" spans="1:3" ht="14.25" customHeight="1" x14ac:dyDescent="0.55000000000000004">
      <c r="A345" s="20"/>
      <c r="B345" s="11"/>
      <c r="C345" s="22"/>
    </row>
    <row r="346" spans="1:3" ht="14.25" customHeight="1" x14ac:dyDescent="0.55000000000000004">
      <c r="A346" s="20"/>
      <c r="B346" s="11"/>
      <c r="C346" s="22"/>
    </row>
    <row r="347" spans="1:3" ht="14.25" customHeight="1" x14ac:dyDescent="0.55000000000000004">
      <c r="A347" s="20"/>
      <c r="B347" s="11"/>
      <c r="C347" s="22"/>
    </row>
    <row r="348" spans="1:3" ht="14.25" customHeight="1" x14ac:dyDescent="0.55000000000000004">
      <c r="A348" s="20"/>
      <c r="B348" s="11"/>
      <c r="C348" s="22"/>
    </row>
    <row r="349" spans="1:3" ht="14.25" customHeight="1" x14ac:dyDescent="0.55000000000000004">
      <c r="A349" s="20"/>
      <c r="B349" s="11"/>
      <c r="C349" s="22"/>
    </row>
    <row r="350" spans="1:3" ht="14.25" customHeight="1" x14ac:dyDescent="0.55000000000000004">
      <c r="A350" s="20"/>
      <c r="B350" s="11"/>
      <c r="C350" s="22"/>
    </row>
    <row r="351" spans="1:3" ht="14.25" customHeight="1" x14ac:dyDescent="0.55000000000000004">
      <c r="A351" s="20"/>
      <c r="B351" s="11"/>
      <c r="C351" s="22"/>
    </row>
    <row r="352" spans="1:3" ht="14.25" customHeight="1" x14ac:dyDescent="0.55000000000000004">
      <c r="A352" s="20"/>
      <c r="B352" s="11"/>
      <c r="C352" s="22"/>
    </row>
    <row r="353" spans="1:3" ht="14.25" customHeight="1" x14ac:dyDescent="0.55000000000000004">
      <c r="A353" s="20"/>
      <c r="B353" s="11"/>
      <c r="C353" s="22"/>
    </row>
    <row r="354" spans="1:3" ht="14.25" customHeight="1" x14ac:dyDescent="0.55000000000000004">
      <c r="A354" s="20"/>
      <c r="B354" s="11"/>
      <c r="C354" s="22"/>
    </row>
    <row r="355" spans="1:3" ht="14.25" customHeight="1" x14ac:dyDescent="0.55000000000000004">
      <c r="A355" s="20"/>
      <c r="B355" s="11"/>
      <c r="C355" s="22"/>
    </row>
    <row r="356" spans="1:3" ht="14.25" customHeight="1" x14ac:dyDescent="0.55000000000000004">
      <c r="A356" s="20"/>
      <c r="B356" s="11"/>
      <c r="C356" s="22"/>
    </row>
    <row r="357" spans="1:3" ht="14.25" customHeight="1" x14ac:dyDescent="0.55000000000000004">
      <c r="A357" s="20"/>
      <c r="B357" s="11"/>
      <c r="C357" s="22"/>
    </row>
    <row r="358" spans="1:3" ht="14.25" customHeight="1" x14ac:dyDescent="0.55000000000000004">
      <c r="A358" s="20"/>
      <c r="B358" s="11"/>
      <c r="C358" s="22"/>
    </row>
    <row r="359" spans="1:3" ht="14.25" customHeight="1" x14ac:dyDescent="0.55000000000000004">
      <c r="A359" s="20"/>
      <c r="B359" s="11"/>
      <c r="C359" s="22"/>
    </row>
    <row r="360" spans="1:3" ht="14.25" customHeight="1" x14ac:dyDescent="0.55000000000000004">
      <c r="A360" s="20"/>
      <c r="B360" s="11"/>
      <c r="C360" s="22"/>
    </row>
    <row r="361" spans="1:3" ht="14.25" customHeight="1" x14ac:dyDescent="0.55000000000000004">
      <c r="A361" s="20"/>
      <c r="B361" s="11"/>
      <c r="C361" s="22"/>
    </row>
    <row r="362" spans="1:3" ht="14.25" customHeight="1" x14ac:dyDescent="0.55000000000000004">
      <c r="A362" s="20"/>
      <c r="B362" s="11"/>
      <c r="C362" s="22"/>
    </row>
    <row r="363" spans="1:3" ht="14.25" customHeight="1" x14ac:dyDescent="0.55000000000000004">
      <c r="A363" s="20"/>
      <c r="B363" s="11"/>
      <c r="C363" s="22"/>
    </row>
    <row r="364" spans="1:3" ht="14.25" customHeight="1" x14ac:dyDescent="0.55000000000000004">
      <c r="A364" s="20"/>
      <c r="B364" s="11"/>
      <c r="C364" s="22"/>
    </row>
    <row r="365" spans="1:3" ht="14.25" customHeight="1" x14ac:dyDescent="0.55000000000000004">
      <c r="A365" s="20"/>
      <c r="B365" s="11"/>
      <c r="C365" s="22"/>
    </row>
    <row r="366" spans="1:3" ht="14.25" customHeight="1" x14ac:dyDescent="0.55000000000000004">
      <c r="A366" s="20"/>
      <c r="B366" s="11"/>
      <c r="C366" s="22"/>
    </row>
    <row r="367" spans="1:3" ht="14.25" customHeight="1" x14ac:dyDescent="0.55000000000000004">
      <c r="A367" s="20"/>
      <c r="B367" s="11"/>
      <c r="C367" s="22"/>
    </row>
    <row r="368" spans="1:3" ht="14.25" customHeight="1" x14ac:dyDescent="0.55000000000000004">
      <c r="A368" s="20"/>
      <c r="B368" s="11"/>
      <c r="C368" s="22"/>
    </row>
    <row r="369" spans="1:3" ht="14.25" customHeight="1" x14ac:dyDescent="0.55000000000000004">
      <c r="A369" s="20"/>
      <c r="B369" s="11"/>
      <c r="C369" s="22"/>
    </row>
    <row r="370" spans="1:3" ht="14.25" customHeight="1" x14ac:dyDescent="0.55000000000000004">
      <c r="A370" s="20"/>
      <c r="B370" s="11"/>
      <c r="C370" s="22"/>
    </row>
    <row r="371" spans="1:3" ht="14.25" customHeight="1" x14ac:dyDescent="0.55000000000000004">
      <c r="A371" s="20"/>
      <c r="B371" s="11"/>
      <c r="C371" s="22"/>
    </row>
    <row r="372" spans="1:3" ht="14.25" customHeight="1" x14ac:dyDescent="0.55000000000000004">
      <c r="A372" s="20"/>
      <c r="B372" s="11"/>
      <c r="C372" s="22"/>
    </row>
    <row r="373" spans="1:3" ht="14.25" customHeight="1" x14ac:dyDescent="0.55000000000000004">
      <c r="A373" s="20"/>
      <c r="B373" s="11"/>
      <c r="C373" s="22"/>
    </row>
    <row r="374" spans="1:3" ht="14.25" customHeight="1" x14ac:dyDescent="0.55000000000000004">
      <c r="A374" s="20"/>
      <c r="B374" s="11"/>
      <c r="C374" s="22"/>
    </row>
    <row r="375" spans="1:3" ht="14.25" customHeight="1" x14ac:dyDescent="0.55000000000000004">
      <c r="A375" s="20"/>
      <c r="B375" s="11"/>
      <c r="C375" s="22"/>
    </row>
    <row r="376" spans="1:3" ht="14.25" customHeight="1" x14ac:dyDescent="0.55000000000000004">
      <c r="A376" s="20"/>
      <c r="B376" s="11"/>
      <c r="C376" s="22"/>
    </row>
    <row r="377" spans="1:3" ht="14.25" customHeight="1" x14ac:dyDescent="0.55000000000000004">
      <c r="A377" s="20"/>
      <c r="B377" s="11"/>
      <c r="C377" s="22"/>
    </row>
    <row r="378" spans="1:3" ht="14.25" customHeight="1" x14ac:dyDescent="0.55000000000000004">
      <c r="A378" s="20"/>
      <c r="B378" s="11"/>
      <c r="C378" s="22"/>
    </row>
    <row r="379" spans="1:3" ht="14.25" customHeight="1" x14ac:dyDescent="0.55000000000000004">
      <c r="A379" s="20"/>
      <c r="B379" s="11"/>
      <c r="C379" s="22"/>
    </row>
    <row r="380" spans="1:3" ht="14.25" customHeight="1" x14ac:dyDescent="0.55000000000000004">
      <c r="A380" s="20"/>
      <c r="B380" s="11"/>
      <c r="C380" s="22"/>
    </row>
    <row r="381" spans="1:3" ht="14.25" customHeight="1" x14ac:dyDescent="0.55000000000000004">
      <c r="A381" s="20"/>
      <c r="B381" s="11"/>
      <c r="C381" s="22"/>
    </row>
    <row r="382" spans="1:3" ht="14.25" customHeight="1" x14ac:dyDescent="0.55000000000000004">
      <c r="A382" s="20"/>
      <c r="B382" s="11"/>
      <c r="C382" s="22"/>
    </row>
    <row r="383" spans="1:3" ht="14.25" customHeight="1" x14ac:dyDescent="0.55000000000000004">
      <c r="A383" s="20"/>
      <c r="B383" s="11"/>
      <c r="C383" s="22"/>
    </row>
    <row r="384" spans="1:3" ht="14.25" customHeight="1" x14ac:dyDescent="0.55000000000000004">
      <c r="A384" s="20"/>
      <c r="B384" s="11"/>
      <c r="C384" s="22"/>
    </row>
    <row r="385" spans="1:3" ht="14.25" customHeight="1" x14ac:dyDescent="0.55000000000000004">
      <c r="A385" s="20"/>
      <c r="B385" s="11"/>
      <c r="C385" s="22"/>
    </row>
    <row r="386" spans="1:3" ht="14.25" customHeight="1" x14ac:dyDescent="0.55000000000000004">
      <c r="A386" s="20"/>
      <c r="B386" s="11"/>
      <c r="C386" s="22"/>
    </row>
    <row r="387" spans="1:3" ht="14.25" customHeight="1" x14ac:dyDescent="0.55000000000000004">
      <c r="A387" s="20"/>
      <c r="B387" s="11"/>
      <c r="C387" s="22"/>
    </row>
    <row r="388" spans="1:3" ht="14.25" customHeight="1" x14ac:dyDescent="0.55000000000000004">
      <c r="A388" s="20"/>
      <c r="B388" s="11"/>
      <c r="C388" s="22"/>
    </row>
    <row r="389" spans="1:3" ht="14.25" customHeight="1" x14ac:dyDescent="0.55000000000000004">
      <c r="A389" s="20"/>
      <c r="B389" s="11"/>
      <c r="C389" s="22"/>
    </row>
    <row r="390" spans="1:3" ht="14.25" customHeight="1" x14ac:dyDescent="0.55000000000000004">
      <c r="A390" s="20"/>
      <c r="B390" s="11"/>
      <c r="C390" s="22"/>
    </row>
    <row r="391" spans="1:3" ht="14.25" customHeight="1" x14ac:dyDescent="0.55000000000000004">
      <c r="A391" s="20"/>
      <c r="B391" s="11"/>
      <c r="C391" s="22"/>
    </row>
    <row r="392" spans="1:3" ht="14.25" customHeight="1" x14ac:dyDescent="0.55000000000000004">
      <c r="A392" s="20"/>
      <c r="B392" s="11"/>
      <c r="C392" s="22"/>
    </row>
    <row r="393" spans="1:3" ht="14.25" customHeight="1" x14ac:dyDescent="0.55000000000000004">
      <c r="A393" s="20"/>
      <c r="B393" s="11"/>
      <c r="C393" s="22"/>
    </row>
    <row r="394" spans="1:3" ht="14.25" customHeight="1" x14ac:dyDescent="0.55000000000000004">
      <c r="A394" s="20"/>
      <c r="B394" s="11"/>
      <c r="C394" s="22"/>
    </row>
    <row r="395" spans="1:3" ht="14.25" customHeight="1" x14ac:dyDescent="0.55000000000000004">
      <c r="A395" s="20"/>
      <c r="B395" s="11"/>
      <c r="C395" s="22"/>
    </row>
    <row r="396" spans="1:3" ht="14.25" customHeight="1" x14ac:dyDescent="0.55000000000000004">
      <c r="A396" s="20"/>
      <c r="B396" s="11"/>
      <c r="C396" s="22"/>
    </row>
    <row r="397" spans="1:3" ht="14.25" customHeight="1" x14ac:dyDescent="0.55000000000000004">
      <c r="A397" s="20"/>
      <c r="B397" s="11"/>
      <c r="C397" s="22"/>
    </row>
    <row r="398" spans="1:3" ht="14.25" customHeight="1" x14ac:dyDescent="0.55000000000000004">
      <c r="A398" s="20"/>
      <c r="B398" s="11"/>
      <c r="C398" s="22"/>
    </row>
    <row r="399" spans="1:3" ht="14.25" customHeight="1" x14ac:dyDescent="0.55000000000000004">
      <c r="A399" s="20"/>
      <c r="B399" s="11"/>
      <c r="C399" s="22"/>
    </row>
    <row r="400" spans="1:3" ht="14.25" customHeight="1" x14ac:dyDescent="0.55000000000000004">
      <c r="A400" s="20"/>
      <c r="B400" s="11"/>
      <c r="C400" s="22"/>
    </row>
    <row r="401" spans="1:3" ht="14.25" customHeight="1" x14ac:dyDescent="0.55000000000000004">
      <c r="A401" s="20"/>
      <c r="B401" s="11"/>
      <c r="C401" s="22"/>
    </row>
    <row r="402" spans="1:3" ht="14.25" customHeight="1" x14ac:dyDescent="0.55000000000000004">
      <c r="A402" s="20"/>
      <c r="B402" s="11"/>
      <c r="C402" s="22"/>
    </row>
    <row r="403" spans="1:3" ht="14.25" customHeight="1" x14ac:dyDescent="0.55000000000000004">
      <c r="A403" s="20"/>
      <c r="B403" s="11"/>
      <c r="C403" s="22"/>
    </row>
    <row r="404" spans="1:3" ht="14.25" customHeight="1" x14ac:dyDescent="0.55000000000000004">
      <c r="A404" s="20"/>
      <c r="B404" s="11"/>
      <c r="C404" s="22"/>
    </row>
    <row r="405" spans="1:3" ht="14.25" customHeight="1" x14ac:dyDescent="0.55000000000000004">
      <c r="A405" s="20"/>
      <c r="B405" s="11"/>
      <c r="C405" s="22"/>
    </row>
    <row r="406" spans="1:3" ht="14.25" customHeight="1" x14ac:dyDescent="0.55000000000000004">
      <c r="A406" s="20"/>
      <c r="B406" s="11"/>
      <c r="C406" s="22"/>
    </row>
    <row r="407" spans="1:3" ht="14.25" customHeight="1" x14ac:dyDescent="0.55000000000000004">
      <c r="A407" s="20"/>
      <c r="B407" s="11"/>
      <c r="C407" s="22"/>
    </row>
    <row r="408" spans="1:3" ht="14.25" customHeight="1" x14ac:dyDescent="0.55000000000000004">
      <c r="A408" s="20"/>
      <c r="B408" s="11"/>
      <c r="C408" s="22"/>
    </row>
    <row r="409" spans="1:3" ht="14.25" customHeight="1" x14ac:dyDescent="0.55000000000000004">
      <c r="A409" s="20"/>
      <c r="B409" s="11"/>
      <c r="C409" s="22"/>
    </row>
    <row r="410" spans="1:3" ht="14.25" customHeight="1" x14ac:dyDescent="0.55000000000000004">
      <c r="A410" s="20"/>
      <c r="B410" s="11"/>
      <c r="C410" s="22"/>
    </row>
    <row r="411" spans="1:3" ht="14.25" customHeight="1" x14ac:dyDescent="0.55000000000000004">
      <c r="A411" s="20"/>
      <c r="B411" s="11"/>
      <c r="C411" s="22"/>
    </row>
    <row r="412" spans="1:3" ht="14.25" customHeight="1" x14ac:dyDescent="0.55000000000000004">
      <c r="A412" s="20"/>
      <c r="B412" s="11"/>
      <c r="C412" s="22"/>
    </row>
    <row r="413" spans="1:3" ht="14.25" customHeight="1" x14ac:dyDescent="0.55000000000000004">
      <c r="A413" s="20"/>
      <c r="B413" s="11"/>
      <c r="C413" s="22"/>
    </row>
    <row r="414" spans="1:3" ht="14.25" customHeight="1" x14ac:dyDescent="0.55000000000000004">
      <c r="A414" s="20"/>
      <c r="B414" s="11"/>
      <c r="C414" s="22"/>
    </row>
    <row r="415" spans="1:3" ht="14.25" customHeight="1" x14ac:dyDescent="0.55000000000000004">
      <c r="A415" s="20"/>
      <c r="B415" s="11"/>
      <c r="C415" s="22"/>
    </row>
    <row r="416" spans="1:3" ht="14.25" customHeight="1" x14ac:dyDescent="0.55000000000000004">
      <c r="A416" s="20"/>
      <c r="B416" s="11"/>
      <c r="C416" s="22"/>
    </row>
    <row r="417" spans="1:3" ht="14.25" customHeight="1" x14ac:dyDescent="0.55000000000000004">
      <c r="A417" s="20"/>
      <c r="B417" s="11"/>
      <c r="C417" s="22"/>
    </row>
    <row r="418" spans="1:3" ht="14.25" customHeight="1" x14ac:dyDescent="0.55000000000000004">
      <c r="A418" s="20"/>
      <c r="B418" s="11"/>
      <c r="C418" s="22"/>
    </row>
    <row r="419" spans="1:3" ht="14.25" customHeight="1" x14ac:dyDescent="0.55000000000000004">
      <c r="A419" s="20"/>
      <c r="B419" s="11"/>
      <c r="C419" s="22"/>
    </row>
    <row r="420" spans="1:3" ht="14.25" customHeight="1" x14ac:dyDescent="0.55000000000000004">
      <c r="A420" s="20"/>
      <c r="B420" s="11"/>
      <c r="C420" s="22"/>
    </row>
    <row r="421" spans="1:3" ht="14.25" customHeight="1" x14ac:dyDescent="0.55000000000000004">
      <c r="A421" s="20"/>
      <c r="B421" s="11"/>
      <c r="C421" s="22"/>
    </row>
    <row r="422" spans="1:3" ht="14.25" customHeight="1" x14ac:dyDescent="0.55000000000000004">
      <c r="A422" s="20"/>
      <c r="B422" s="11"/>
      <c r="C422" s="22"/>
    </row>
    <row r="423" spans="1:3" ht="14.25" customHeight="1" x14ac:dyDescent="0.55000000000000004">
      <c r="A423" s="20"/>
      <c r="B423" s="11"/>
      <c r="C423" s="22"/>
    </row>
    <row r="424" spans="1:3" ht="14.25" customHeight="1" x14ac:dyDescent="0.55000000000000004">
      <c r="A424" s="20"/>
      <c r="B424" s="11"/>
      <c r="C424" s="22"/>
    </row>
    <row r="425" spans="1:3" ht="14.25" customHeight="1" x14ac:dyDescent="0.55000000000000004">
      <c r="A425" s="20"/>
      <c r="B425" s="11"/>
      <c r="C425" s="22"/>
    </row>
    <row r="426" spans="1:3" ht="14.25" customHeight="1" x14ac:dyDescent="0.55000000000000004">
      <c r="A426" s="20"/>
      <c r="B426" s="11"/>
      <c r="C426" s="22"/>
    </row>
    <row r="427" spans="1:3" ht="14.25" customHeight="1" x14ac:dyDescent="0.55000000000000004">
      <c r="A427" s="20"/>
      <c r="B427" s="11"/>
      <c r="C427" s="22"/>
    </row>
    <row r="428" spans="1:3" ht="14.25" customHeight="1" x14ac:dyDescent="0.55000000000000004">
      <c r="A428" s="20"/>
      <c r="B428" s="11"/>
      <c r="C428" s="22"/>
    </row>
    <row r="429" spans="1:3" ht="14.25" customHeight="1" x14ac:dyDescent="0.55000000000000004">
      <c r="A429" s="20"/>
      <c r="B429" s="11"/>
      <c r="C429" s="22"/>
    </row>
    <row r="430" spans="1:3" ht="14.25" customHeight="1" x14ac:dyDescent="0.55000000000000004">
      <c r="A430" s="20"/>
      <c r="B430" s="11"/>
      <c r="C430" s="22"/>
    </row>
    <row r="431" spans="1:3" ht="14.25" customHeight="1" x14ac:dyDescent="0.55000000000000004">
      <c r="A431" s="20"/>
      <c r="B431" s="11"/>
      <c r="C431" s="22"/>
    </row>
    <row r="432" spans="1:3" ht="14.25" customHeight="1" x14ac:dyDescent="0.55000000000000004">
      <c r="A432" s="20"/>
      <c r="B432" s="11"/>
      <c r="C432" s="22"/>
    </row>
    <row r="433" spans="1:3" ht="14.25" customHeight="1" x14ac:dyDescent="0.55000000000000004">
      <c r="A433" s="20"/>
      <c r="B433" s="11"/>
      <c r="C433" s="22"/>
    </row>
    <row r="434" spans="1:3" ht="14.25" customHeight="1" x14ac:dyDescent="0.55000000000000004">
      <c r="A434" s="20"/>
      <c r="B434" s="11"/>
      <c r="C434" s="22"/>
    </row>
    <row r="435" spans="1:3" ht="14.25" customHeight="1" x14ac:dyDescent="0.55000000000000004">
      <c r="A435" s="20"/>
      <c r="B435" s="11"/>
      <c r="C435" s="22"/>
    </row>
    <row r="436" spans="1:3" ht="14.25" customHeight="1" x14ac:dyDescent="0.55000000000000004">
      <c r="A436" s="20"/>
      <c r="B436" s="11"/>
      <c r="C436" s="22"/>
    </row>
    <row r="437" spans="1:3" ht="14.25" customHeight="1" x14ac:dyDescent="0.55000000000000004">
      <c r="A437" s="20"/>
      <c r="B437" s="11"/>
      <c r="C437" s="22"/>
    </row>
    <row r="438" spans="1:3" ht="14.25" customHeight="1" x14ac:dyDescent="0.55000000000000004">
      <c r="A438" s="20"/>
      <c r="B438" s="11"/>
      <c r="C438" s="22"/>
    </row>
    <row r="439" spans="1:3" ht="14.25" customHeight="1" x14ac:dyDescent="0.55000000000000004">
      <c r="A439" s="20"/>
      <c r="B439" s="11"/>
      <c r="C439" s="22"/>
    </row>
    <row r="440" spans="1:3" ht="14.25" customHeight="1" x14ac:dyDescent="0.55000000000000004">
      <c r="A440" s="20"/>
      <c r="B440" s="11"/>
      <c r="C440" s="22"/>
    </row>
    <row r="441" spans="1:3" ht="14.25" customHeight="1" x14ac:dyDescent="0.55000000000000004">
      <c r="A441" s="20"/>
      <c r="B441" s="11"/>
      <c r="C441" s="22"/>
    </row>
    <row r="442" spans="1:3" ht="14.25" customHeight="1" x14ac:dyDescent="0.55000000000000004">
      <c r="A442" s="20"/>
      <c r="B442" s="11"/>
      <c r="C442" s="22"/>
    </row>
    <row r="443" spans="1:3" ht="14.25" customHeight="1" x14ac:dyDescent="0.55000000000000004">
      <c r="A443" s="20"/>
      <c r="B443" s="11"/>
      <c r="C443" s="22"/>
    </row>
    <row r="444" spans="1:3" ht="14.25" customHeight="1" x14ac:dyDescent="0.55000000000000004">
      <c r="A444" s="20"/>
      <c r="B444" s="11"/>
      <c r="C444" s="22"/>
    </row>
    <row r="445" spans="1:3" ht="14.25" customHeight="1" x14ac:dyDescent="0.55000000000000004">
      <c r="A445" s="20"/>
      <c r="B445" s="11"/>
      <c r="C445" s="22"/>
    </row>
    <row r="446" spans="1:3" ht="14.25" customHeight="1" x14ac:dyDescent="0.55000000000000004">
      <c r="A446" s="20"/>
      <c r="B446" s="11"/>
      <c r="C446" s="22"/>
    </row>
    <row r="447" spans="1:3" ht="14.25" customHeight="1" x14ac:dyDescent="0.55000000000000004">
      <c r="A447" s="20"/>
      <c r="B447" s="11"/>
      <c r="C447" s="22"/>
    </row>
    <row r="448" spans="1:3" ht="14.25" customHeight="1" x14ac:dyDescent="0.55000000000000004">
      <c r="A448" s="20"/>
      <c r="B448" s="11"/>
      <c r="C448" s="22"/>
    </row>
    <row r="449" spans="1:3" ht="14.25" customHeight="1" x14ac:dyDescent="0.55000000000000004">
      <c r="A449" s="20"/>
      <c r="B449" s="11"/>
      <c r="C449" s="22"/>
    </row>
    <row r="450" spans="1:3" ht="14.25" customHeight="1" x14ac:dyDescent="0.55000000000000004">
      <c r="A450" s="20"/>
      <c r="B450" s="11"/>
      <c r="C450" s="22"/>
    </row>
    <row r="451" spans="1:3" ht="14.25" customHeight="1" x14ac:dyDescent="0.55000000000000004">
      <c r="A451" s="20"/>
      <c r="B451" s="11"/>
      <c r="C451" s="22"/>
    </row>
    <row r="452" spans="1:3" ht="14.25" customHeight="1" x14ac:dyDescent="0.55000000000000004">
      <c r="A452" s="20"/>
      <c r="B452" s="11"/>
      <c r="C452" s="22"/>
    </row>
    <row r="453" spans="1:3" ht="14.25" customHeight="1" x14ac:dyDescent="0.55000000000000004">
      <c r="A453" s="20"/>
      <c r="B453" s="11"/>
      <c r="C453" s="22"/>
    </row>
    <row r="454" spans="1:3" ht="14.25" customHeight="1" x14ac:dyDescent="0.55000000000000004">
      <c r="A454" s="20"/>
      <c r="B454" s="11"/>
      <c r="C454" s="22"/>
    </row>
    <row r="455" spans="1:3" ht="14.25" customHeight="1" x14ac:dyDescent="0.55000000000000004">
      <c r="A455" s="20"/>
      <c r="B455" s="11"/>
      <c r="C455" s="22"/>
    </row>
    <row r="456" spans="1:3" ht="14.25" customHeight="1" x14ac:dyDescent="0.55000000000000004">
      <c r="A456" s="20"/>
      <c r="B456" s="11"/>
      <c r="C456" s="22"/>
    </row>
    <row r="457" spans="1:3" ht="14.25" customHeight="1" x14ac:dyDescent="0.55000000000000004">
      <c r="A457" s="20"/>
      <c r="B457" s="11"/>
      <c r="C457" s="22"/>
    </row>
    <row r="458" spans="1:3" ht="14.25" customHeight="1" x14ac:dyDescent="0.55000000000000004">
      <c r="A458" s="20"/>
      <c r="B458" s="11"/>
      <c r="C458" s="22"/>
    </row>
    <row r="459" spans="1:3" ht="14.25" customHeight="1" x14ac:dyDescent="0.55000000000000004">
      <c r="A459" s="20"/>
      <c r="B459" s="11"/>
      <c r="C459" s="22"/>
    </row>
    <row r="460" spans="1:3" ht="14.25" customHeight="1" x14ac:dyDescent="0.55000000000000004">
      <c r="A460" s="20"/>
      <c r="B460" s="11"/>
      <c r="C460" s="22"/>
    </row>
    <row r="461" spans="1:3" ht="14.25" customHeight="1" x14ac:dyDescent="0.55000000000000004">
      <c r="A461" s="20"/>
      <c r="B461" s="11"/>
      <c r="C461" s="22"/>
    </row>
    <row r="462" spans="1:3" ht="14.25" customHeight="1" x14ac:dyDescent="0.55000000000000004">
      <c r="A462" s="20"/>
      <c r="B462" s="11"/>
      <c r="C462" s="22"/>
    </row>
    <row r="463" spans="1:3" ht="14.25" customHeight="1" x14ac:dyDescent="0.55000000000000004">
      <c r="A463" s="20"/>
      <c r="B463" s="11"/>
      <c r="C463" s="22"/>
    </row>
    <row r="464" spans="1:3" ht="14.25" customHeight="1" x14ac:dyDescent="0.55000000000000004">
      <c r="A464" s="20"/>
      <c r="B464" s="11"/>
      <c r="C464" s="22"/>
    </row>
    <row r="465" spans="1:3" ht="14.25" customHeight="1" x14ac:dyDescent="0.55000000000000004">
      <c r="A465" s="20"/>
      <c r="B465" s="11"/>
      <c r="C465" s="22"/>
    </row>
    <row r="466" spans="1:3" ht="14.25" customHeight="1" x14ac:dyDescent="0.55000000000000004">
      <c r="A466" s="20"/>
      <c r="B466" s="11"/>
      <c r="C466" s="22"/>
    </row>
    <row r="467" spans="1:3" ht="14.25" customHeight="1" x14ac:dyDescent="0.55000000000000004">
      <c r="A467" s="20"/>
      <c r="B467" s="11"/>
      <c r="C467" s="22"/>
    </row>
    <row r="468" spans="1:3" ht="14.25" customHeight="1" x14ac:dyDescent="0.55000000000000004">
      <c r="A468" s="20"/>
      <c r="B468" s="11"/>
      <c r="C468" s="22"/>
    </row>
    <row r="469" spans="1:3" ht="14.25" customHeight="1" x14ac:dyDescent="0.55000000000000004">
      <c r="A469" s="20"/>
      <c r="B469" s="11"/>
      <c r="C469" s="22"/>
    </row>
    <row r="470" spans="1:3" ht="14.25" customHeight="1" x14ac:dyDescent="0.55000000000000004">
      <c r="A470" s="20"/>
      <c r="B470" s="11"/>
      <c r="C470" s="22"/>
    </row>
    <row r="471" spans="1:3" ht="14.25" customHeight="1" x14ac:dyDescent="0.55000000000000004">
      <c r="A471" s="20"/>
      <c r="B471" s="11"/>
      <c r="C471" s="22"/>
    </row>
    <row r="472" spans="1:3" ht="14.25" customHeight="1" x14ac:dyDescent="0.55000000000000004">
      <c r="A472" s="20"/>
      <c r="B472" s="11"/>
      <c r="C472" s="22"/>
    </row>
    <row r="473" spans="1:3" ht="14.25" customHeight="1" x14ac:dyDescent="0.55000000000000004">
      <c r="A473" s="20"/>
      <c r="B473" s="11"/>
      <c r="C473" s="22"/>
    </row>
    <row r="474" spans="1:3" ht="14.25" customHeight="1" x14ac:dyDescent="0.55000000000000004">
      <c r="A474" s="20"/>
      <c r="B474" s="11"/>
      <c r="C474" s="22"/>
    </row>
    <row r="475" spans="1:3" ht="14.25" customHeight="1" x14ac:dyDescent="0.55000000000000004">
      <c r="A475" s="20"/>
      <c r="B475" s="11"/>
      <c r="C475" s="22"/>
    </row>
    <row r="476" spans="1:3" ht="14.25" customHeight="1" x14ac:dyDescent="0.55000000000000004">
      <c r="A476" s="20"/>
      <c r="B476" s="11"/>
      <c r="C476" s="22"/>
    </row>
    <row r="477" spans="1:3" ht="14.25" customHeight="1" x14ac:dyDescent="0.55000000000000004">
      <c r="A477" s="20"/>
      <c r="B477" s="11"/>
      <c r="C477" s="22"/>
    </row>
    <row r="478" spans="1:3" ht="14.25" customHeight="1" x14ac:dyDescent="0.55000000000000004">
      <c r="A478" s="20"/>
      <c r="B478" s="11"/>
      <c r="C478" s="22"/>
    </row>
    <row r="479" spans="1:3" ht="14.25" customHeight="1" x14ac:dyDescent="0.55000000000000004">
      <c r="A479" s="20"/>
      <c r="B479" s="11"/>
      <c r="C479" s="22"/>
    </row>
    <row r="480" spans="1:3" ht="14.25" customHeight="1" x14ac:dyDescent="0.55000000000000004">
      <c r="A480" s="20"/>
      <c r="B480" s="11"/>
      <c r="C480" s="22"/>
    </row>
    <row r="481" spans="1:3" ht="14.25" customHeight="1" x14ac:dyDescent="0.55000000000000004">
      <c r="A481" s="20"/>
      <c r="B481" s="11"/>
      <c r="C481" s="22"/>
    </row>
    <row r="482" spans="1:3" ht="14.25" customHeight="1" x14ac:dyDescent="0.55000000000000004">
      <c r="A482" s="20"/>
      <c r="B482" s="11"/>
      <c r="C482" s="22"/>
    </row>
    <row r="483" spans="1:3" ht="14.25" customHeight="1" x14ac:dyDescent="0.55000000000000004">
      <c r="A483" s="20"/>
      <c r="B483" s="11"/>
      <c r="C483" s="22"/>
    </row>
    <row r="484" spans="1:3" ht="14.25" customHeight="1" x14ac:dyDescent="0.55000000000000004">
      <c r="A484" s="20"/>
      <c r="B484" s="11"/>
      <c r="C484" s="22"/>
    </row>
    <row r="485" spans="1:3" ht="14.25" customHeight="1" x14ac:dyDescent="0.55000000000000004">
      <c r="A485" s="20"/>
      <c r="B485" s="11"/>
      <c r="C485" s="22"/>
    </row>
    <row r="486" spans="1:3" ht="14.25" customHeight="1" x14ac:dyDescent="0.55000000000000004">
      <c r="A486" s="20"/>
      <c r="B486" s="11"/>
      <c r="C486" s="22"/>
    </row>
    <row r="487" spans="1:3" ht="14.25" customHeight="1" x14ac:dyDescent="0.55000000000000004">
      <c r="A487" s="20"/>
      <c r="B487" s="11"/>
      <c r="C487" s="22"/>
    </row>
    <row r="488" spans="1:3" ht="14.25" customHeight="1" x14ac:dyDescent="0.55000000000000004">
      <c r="A488" s="20"/>
      <c r="B488" s="11"/>
      <c r="C488" s="22"/>
    </row>
    <row r="489" spans="1:3" ht="14.25" customHeight="1" x14ac:dyDescent="0.55000000000000004">
      <c r="A489" s="20"/>
      <c r="B489" s="11"/>
      <c r="C489" s="22"/>
    </row>
    <row r="490" spans="1:3" ht="14.25" customHeight="1" x14ac:dyDescent="0.55000000000000004">
      <c r="A490" s="20"/>
      <c r="B490" s="11"/>
      <c r="C490" s="22"/>
    </row>
    <row r="491" spans="1:3" ht="14.25" customHeight="1" x14ac:dyDescent="0.55000000000000004">
      <c r="A491" s="20"/>
      <c r="B491" s="11"/>
      <c r="C491" s="22"/>
    </row>
    <row r="492" spans="1:3" ht="14.25" customHeight="1" x14ac:dyDescent="0.55000000000000004">
      <c r="A492" s="20"/>
      <c r="B492" s="11"/>
      <c r="C492" s="22"/>
    </row>
    <row r="493" spans="1:3" ht="14.25" customHeight="1" x14ac:dyDescent="0.55000000000000004">
      <c r="A493" s="20"/>
      <c r="B493" s="11"/>
      <c r="C493" s="22"/>
    </row>
    <row r="494" spans="1:3" ht="14.25" customHeight="1" x14ac:dyDescent="0.55000000000000004">
      <c r="A494" s="20"/>
      <c r="B494" s="11"/>
      <c r="C494" s="22"/>
    </row>
    <row r="495" spans="1:3" ht="14.25" customHeight="1" x14ac:dyDescent="0.55000000000000004">
      <c r="A495" s="20"/>
      <c r="B495" s="11"/>
      <c r="C495" s="22"/>
    </row>
    <row r="496" spans="1:3" ht="14.25" customHeight="1" x14ac:dyDescent="0.55000000000000004">
      <c r="A496" s="20"/>
      <c r="B496" s="11"/>
      <c r="C496" s="22"/>
    </row>
    <row r="497" spans="1:3" ht="14.25" customHeight="1" x14ac:dyDescent="0.55000000000000004">
      <c r="A497" s="20"/>
      <c r="B497" s="11"/>
      <c r="C497" s="22"/>
    </row>
    <row r="498" spans="1:3" ht="14.25" customHeight="1" x14ac:dyDescent="0.55000000000000004">
      <c r="A498" s="20"/>
      <c r="B498" s="11"/>
      <c r="C498" s="22"/>
    </row>
    <row r="499" spans="1:3" ht="14.25" customHeight="1" x14ac:dyDescent="0.55000000000000004">
      <c r="A499" s="20"/>
      <c r="B499" s="11"/>
      <c r="C499" s="22"/>
    </row>
    <row r="500" spans="1:3" ht="14.25" customHeight="1" x14ac:dyDescent="0.55000000000000004">
      <c r="A500" s="20"/>
      <c r="B500" s="11"/>
      <c r="C500" s="22"/>
    </row>
    <row r="501" spans="1:3" ht="14.25" customHeight="1" x14ac:dyDescent="0.55000000000000004">
      <c r="A501" s="20"/>
      <c r="B501" s="11"/>
      <c r="C501" s="22"/>
    </row>
    <row r="502" spans="1:3" ht="14.25" customHeight="1" x14ac:dyDescent="0.55000000000000004">
      <c r="A502" s="20"/>
      <c r="B502" s="11"/>
      <c r="C502" s="22"/>
    </row>
    <row r="503" spans="1:3" ht="14.25" customHeight="1" x14ac:dyDescent="0.55000000000000004">
      <c r="A503" s="20"/>
      <c r="B503" s="11"/>
      <c r="C503" s="22"/>
    </row>
    <row r="504" spans="1:3" ht="14.25" customHeight="1" x14ac:dyDescent="0.55000000000000004">
      <c r="A504" s="20"/>
      <c r="B504" s="11"/>
      <c r="C504" s="22"/>
    </row>
    <row r="505" spans="1:3" ht="14.25" customHeight="1" x14ac:dyDescent="0.55000000000000004">
      <c r="A505" s="20"/>
      <c r="B505" s="11"/>
      <c r="C505" s="22"/>
    </row>
    <row r="506" spans="1:3" ht="14.25" customHeight="1" x14ac:dyDescent="0.55000000000000004">
      <c r="A506" s="20"/>
      <c r="B506" s="11"/>
      <c r="C506" s="22"/>
    </row>
    <row r="507" spans="1:3" ht="14.25" customHeight="1" x14ac:dyDescent="0.55000000000000004">
      <c r="A507" s="20"/>
      <c r="B507" s="11"/>
      <c r="C507" s="22"/>
    </row>
    <row r="508" spans="1:3" ht="14.25" customHeight="1" x14ac:dyDescent="0.55000000000000004">
      <c r="A508" s="20"/>
      <c r="B508" s="11"/>
      <c r="C508" s="22"/>
    </row>
    <row r="509" spans="1:3" ht="14.25" customHeight="1" x14ac:dyDescent="0.55000000000000004">
      <c r="A509" s="20"/>
      <c r="B509" s="11"/>
      <c r="C509" s="22"/>
    </row>
    <row r="510" spans="1:3" ht="14.25" customHeight="1" x14ac:dyDescent="0.55000000000000004">
      <c r="A510" s="20"/>
      <c r="B510" s="11"/>
      <c r="C510" s="22"/>
    </row>
    <row r="511" spans="1:3" ht="14.25" customHeight="1" x14ac:dyDescent="0.55000000000000004">
      <c r="A511" s="20"/>
      <c r="B511" s="11"/>
      <c r="C511" s="22"/>
    </row>
    <row r="512" spans="1:3" ht="14.25" customHeight="1" x14ac:dyDescent="0.55000000000000004">
      <c r="A512" s="20"/>
      <c r="B512" s="11"/>
      <c r="C512" s="22"/>
    </row>
    <row r="513" spans="1:3" ht="14.25" customHeight="1" x14ac:dyDescent="0.55000000000000004">
      <c r="A513" s="20"/>
      <c r="B513" s="11"/>
      <c r="C513" s="22"/>
    </row>
    <row r="514" spans="1:3" ht="14.25" customHeight="1" x14ac:dyDescent="0.55000000000000004">
      <c r="A514" s="20"/>
      <c r="B514" s="11"/>
      <c r="C514" s="22"/>
    </row>
    <row r="515" spans="1:3" ht="14.25" customHeight="1" x14ac:dyDescent="0.55000000000000004">
      <c r="A515" s="20"/>
      <c r="B515" s="11"/>
      <c r="C515" s="22"/>
    </row>
    <row r="516" spans="1:3" ht="14.25" customHeight="1" x14ac:dyDescent="0.55000000000000004">
      <c r="A516" s="20"/>
      <c r="B516" s="11"/>
      <c r="C516" s="22"/>
    </row>
    <row r="517" spans="1:3" ht="14.25" customHeight="1" x14ac:dyDescent="0.55000000000000004">
      <c r="A517" s="20"/>
      <c r="B517" s="11"/>
      <c r="C517" s="22"/>
    </row>
    <row r="518" spans="1:3" ht="14.25" customHeight="1" x14ac:dyDescent="0.55000000000000004">
      <c r="A518" s="20"/>
      <c r="B518" s="11"/>
      <c r="C518" s="22"/>
    </row>
    <row r="519" spans="1:3" ht="14.25" customHeight="1" x14ac:dyDescent="0.55000000000000004">
      <c r="A519" s="20"/>
      <c r="B519" s="11"/>
      <c r="C519" s="22"/>
    </row>
    <row r="520" spans="1:3" ht="14.25" customHeight="1" x14ac:dyDescent="0.55000000000000004">
      <c r="A520" s="20"/>
      <c r="B520" s="11"/>
      <c r="C520" s="22"/>
    </row>
    <row r="521" spans="1:3" ht="14.25" customHeight="1" x14ac:dyDescent="0.55000000000000004">
      <c r="A521" s="20"/>
      <c r="B521" s="11"/>
      <c r="C521" s="22"/>
    </row>
    <row r="522" spans="1:3" ht="14.25" customHeight="1" x14ac:dyDescent="0.55000000000000004">
      <c r="A522" s="20"/>
      <c r="B522" s="11"/>
      <c r="C522" s="22"/>
    </row>
    <row r="523" spans="1:3" ht="14.25" customHeight="1" x14ac:dyDescent="0.55000000000000004">
      <c r="A523" s="20"/>
      <c r="B523" s="11"/>
      <c r="C523" s="22"/>
    </row>
    <row r="524" spans="1:3" ht="14.25" customHeight="1" x14ac:dyDescent="0.55000000000000004">
      <c r="A524" s="20"/>
      <c r="B524" s="11"/>
      <c r="C524" s="22"/>
    </row>
    <row r="525" spans="1:3" ht="14.25" customHeight="1" x14ac:dyDescent="0.55000000000000004">
      <c r="A525" s="20"/>
      <c r="B525" s="11"/>
      <c r="C525" s="22"/>
    </row>
    <row r="526" spans="1:3" ht="14.25" customHeight="1" x14ac:dyDescent="0.55000000000000004">
      <c r="A526" s="20"/>
      <c r="B526" s="11"/>
      <c r="C526" s="22"/>
    </row>
    <row r="527" spans="1:3" ht="14.25" customHeight="1" x14ac:dyDescent="0.55000000000000004">
      <c r="A527" s="20"/>
      <c r="B527" s="11"/>
      <c r="C527" s="22"/>
    </row>
    <row r="528" spans="1:3" ht="14.25" customHeight="1" x14ac:dyDescent="0.55000000000000004">
      <c r="A528" s="20"/>
      <c r="B528" s="11"/>
      <c r="C528" s="22"/>
    </row>
    <row r="529" spans="1:3" ht="14.25" customHeight="1" x14ac:dyDescent="0.55000000000000004">
      <c r="A529" s="20"/>
      <c r="B529" s="11"/>
      <c r="C529" s="22"/>
    </row>
    <row r="530" spans="1:3" ht="14.25" customHeight="1" x14ac:dyDescent="0.55000000000000004">
      <c r="A530" s="20"/>
      <c r="B530" s="11"/>
      <c r="C530" s="22"/>
    </row>
    <row r="531" spans="1:3" ht="14.25" customHeight="1" x14ac:dyDescent="0.55000000000000004">
      <c r="A531" s="20"/>
      <c r="B531" s="11"/>
      <c r="C531" s="22"/>
    </row>
    <row r="532" spans="1:3" ht="14.25" customHeight="1" x14ac:dyDescent="0.55000000000000004">
      <c r="A532" s="20"/>
      <c r="B532" s="11"/>
      <c r="C532" s="22"/>
    </row>
    <row r="533" spans="1:3" ht="14.25" customHeight="1" x14ac:dyDescent="0.55000000000000004">
      <c r="A533" s="20"/>
      <c r="B533" s="11"/>
      <c r="C533" s="22"/>
    </row>
    <row r="534" spans="1:3" ht="14.25" customHeight="1" x14ac:dyDescent="0.55000000000000004">
      <c r="A534" s="20"/>
      <c r="B534" s="11"/>
      <c r="C534" s="22"/>
    </row>
    <row r="535" spans="1:3" ht="14.25" customHeight="1" x14ac:dyDescent="0.55000000000000004">
      <c r="A535" s="20"/>
      <c r="B535" s="11"/>
      <c r="C535" s="22"/>
    </row>
    <row r="536" spans="1:3" ht="14.25" customHeight="1" x14ac:dyDescent="0.55000000000000004">
      <c r="A536" s="20"/>
      <c r="B536" s="11"/>
      <c r="C536" s="22"/>
    </row>
    <row r="537" spans="1:3" ht="14.25" customHeight="1" x14ac:dyDescent="0.55000000000000004">
      <c r="A537" s="20"/>
      <c r="B537" s="11"/>
      <c r="C537" s="22"/>
    </row>
    <row r="538" spans="1:3" ht="14.25" customHeight="1" x14ac:dyDescent="0.55000000000000004">
      <c r="A538" s="20"/>
      <c r="B538" s="11"/>
      <c r="C538" s="22"/>
    </row>
    <row r="539" spans="1:3" ht="14.25" customHeight="1" x14ac:dyDescent="0.55000000000000004">
      <c r="A539" s="20"/>
      <c r="B539" s="11"/>
      <c r="C539" s="22"/>
    </row>
    <row r="540" spans="1:3" ht="14.25" customHeight="1" x14ac:dyDescent="0.55000000000000004">
      <c r="A540" s="20"/>
      <c r="B540" s="11"/>
      <c r="C540" s="22"/>
    </row>
    <row r="541" spans="1:3" ht="14.25" customHeight="1" x14ac:dyDescent="0.55000000000000004">
      <c r="A541" s="20"/>
      <c r="B541" s="11"/>
      <c r="C541" s="22"/>
    </row>
    <row r="542" spans="1:3" ht="14.25" customHeight="1" x14ac:dyDescent="0.55000000000000004">
      <c r="A542" s="20"/>
      <c r="B542" s="11"/>
      <c r="C542" s="22"/>
    </row>
    <row r="543" spans="1:3" ht="14.25" customHeight="1" x14ac:dyDescent="0.55000000000000004">
      <c r="A543" s="20"/>
      <c r="B543" s="11"/>
      <c r="C543" s="22"/>
    </row>
    <row r="544" spans="1:3" ht="14.25" customHeight="1" x14ac:dyDescent="0.55000000000000004">
      <c r="A544" s="20"/>
      <c r="B544" s="11"/>
      <c r="C544" s="22"/>
    </row>
    <row r="545" spans="1:3" ht="14.25" customHeight="1" x14ac:dyDescent="0.55000000000000004">
      <c r="A545" s="20"/>
      <c r="B545" s="11"/>
      <c r="C545" s="22"/>
    </row>
    <row r="546" spans="1:3" ht="14.25" customHeight="1" x14ac:dyDescent="0.55000000000000004">
      <c r="A546" s="20"/>
      <c r="B546" s="11"/>
      <c r="C546" s="22"/>
    </row>
    <row r="547" spans="1:3" ht="14.25" customHeight="1" x14ac:dyDescent="0.55000000000000004">
      <c r="A547" s="20"/>
      <c r="B547" s="11"/>
      <c r="C547" s="22"/>
    </row>
    <row r="548" spans="1:3" ht="14.25" customHeight="1" x14ac:dyDescent="0.55000000000000004">
      <c r="A548" s="20"/>
      <c r="B548" s="11"/>
      <c r="C548" s="22"/>
    </row>
    <row r="549" spans="1:3" ht="14.25" customHeight="1" x14ac:dyDescent="0.55000000000000004">
      <c r="A549" s="20"/>
      <c r="B549" s="11"/>
      <c r="C549" s="22"/>
    </row>
    <row r="550" spans="1:3" ht="14.25" customHeight="1" x14ac:dyDescent="0.55000000000000004">
      <c r="A550" s="20"/>
      <c r="B550" s="11"/>
      <c r="C550" s="22"/>
    </row>
    <row r="551" spans="1:3" ht="14.25" customHeight="1" x14ac:dyDescent="0.55000000000000004">
      <c r="A551" s="20"/>
      <c r="B551" s="11"/>
      <c r="C551" s="22"/>
    </row>
    <row r="552" spans="1:3" ht="14.25" customHeight="1" x14ac:dyDescent="0.55000000000000004">
      <c r="A552" s="20"/>
      <c r="B552" s="11"/>
      <c r="C552" s="22"/>
    </row>
    <row r="553" spans="1:3" ht="14.25" customHeight="1" x14ac:dyDescent="0.55000000000000004">
      <c r="A553" s="20"/>
      <c r="B553" s="11"/>
      <c r="C553" s="22"/>
    </row>
    <row r="554" spans="1:3" ht="14.25" customHeight="1" x14ac:dyDescent="0.55000000000000004">
      <c r="A554" s="20"/>
      <c r="B554" s="11"/>
      <c r="C554" s="22"/>
    </row>
    <row r="555" spans="1:3" ht="14.25" customHeight="1" x14ac:dyDescent="0.55000000000000004">
      <c r="A555" s="20"/>
      <c r="B555" s="11"/>
      <c r="C555" s="22"/>
    </row>
    <row r="556" spans="1:3" ht="14.25" customHeight="1" x14ac:dyDescent="0.55000000000000004">
      <c r="A556" s="20"/>
      <c r="B556" s="11"/>
      <c r="C556" s="22"/>
    </row>
    <row r="557" spans="1:3" ht="14.25" customHeight="1" x14ac:dyDescent="0.55000000000000004">
      <c r="A557" s="20"/>
      <c r="B557" s="11"/>
      <c r="C557" s="22"/>
    </row>
    <row r="558" spans="1:3" ht="14.25" customHeight="1" x14ac:dyDescent="0.55000000000000004">
      <c r="A558" s="20"/>
      <c r="B558" s="11"/>
      <c r="C558" s="22"/>
    </row>
    <row r="559" spans="1:3" ht="14.25" customHeight="1" x14ac:dyDescent="0.55000000000000004">
      <c r="A559" s="20"/>
      <c r="B559" s="11"/>
      <c r="C559" s="22"/>
    </row>
    <row r="560" spans="1:3" ht="14.25" customHeight="1" x14ac:dyDescent="0.55000000000000004">
      <c r="A560" s="20"/>
      <c r="B560" s="11"/>
      <c r="C560" s="22"/>
    </row>
    <row r="561" spans="1:3" ht="14.25" customHeight="1" x14ac:dyDescent="0.55000000000000004">
      <c r="A561" s="20"/>
      <c r="B561" s="11"/>
      <c r="C561" s="22"/>
    </row>
    <row r="562" spans="1:3" ht="14.25" customHeight="1" x14ac:dyDescent="0.55000000000000004">
      <c r="A562" s="20"/>
      <c r="B562" s="11"/>
      <c r="C562" s="22"/>
    </row>
    <row r="563" spans="1:3" ht="14.25" customHeight="1" x14ac:dyDescent="0.55000000000000004">
      <c r="A563" s="20"/>
      <c r="B563" s="11"/>
      <c r="C563" s="22"/>
    </row>
    <row r="564" spans="1:3" ht="14.25" customHeight="1" x14ac:dyDescent="0.55000000000000004">
      <c r="A564" s="20"/>
      <c r="B564" s="11"/>
      <c r="C564" s="22"/>
    </row>
    <row r="565" spans="1:3" ht="14.25" customHeight="1" x14ac:dyDescent="0.55000000000000004">
      <c r="A565" s="20"/>
      <c r="B565" s="11"/>
      <c r="C565" s="22"/>
    </row>
    <row r="566" spans="1:3" ht="14.25" customHeight="1" x14ac:dyDescent="0.55000000000000004">
      <c r="A566" s="20"/>
      <c r="B566" s="11"/>
      <c r="C566" s="22"/>
    </row>
    <row r="567" spans="1:3" ht="14.25" customHeight="1" x14ac:dyDescent="0.55000000000000004">
      <c r="A567" s="20"/>
      <c r="B567" s="11"/>
      <c r="C567" s="22"/>
    </row>
    <row r="568" spans="1:3" ht="14.25" customHeight="1" x14ac:dyDescent="0.55000000000000004">
      <c r="A568" s="20"/>
      <c r="B568" s="11"/>
      <c r="C568" s="22"/>
    </row>
    <row r="569" spans="1:3" ht="14.25" customHeight="1" x14ac:dyDescent="0.55000000000000004">
      <c r="A569" s="20"/>
      <c r="B569" s="11"/>
      <c r="C569" s="22"/>
    </row>
    <row r="570" spans="1:3" ht="14.25" customHeight="1" x14ac:dyDescent="0.55000000000000004">
      <c r="A570" s="20"/>
      <c r="B570" s="11"/>
      <c r="C570" s="22"/>
    </row>
    <row r="571" spans="1:3" ht="14.25" customHeight="1" x14ac:dyDescent="0.55000000000000004">
      <c r="A571" s="20"/>
      <c r="B571" s="11"/>
      <c r="C571" s="22"/>
    </row>
    <row r="572" spans="1:3" ht="14.25" customHeight="1" x14ac:dyDescent="0.55000000000000004">
      <c r="A572" s="20"/>
      <c r="B572" s="11"/>
      <c r="C572" s="22"/>
    </row>
    <row r="573" spans="1:3" ht="14.25" customHeight="1" x14ac:dyDescent="0.55000000000000004">
      <c r="A573" s="20"/>
      <c r="B573" s="11"/>
      <c r="C573" s="22"/>
    </row>
    <row r="574" spans="1:3" ht="14.25" customHeight="1" x14ac:dyDescent="0.55000000000000004">
      <c r="A574" s="20"/>
      <c r="B574" s="11"/>
      <c r="C574" s="22"/>
    </row>
    <row r="575" spans="1:3" ht="14.25" customHeight="1" x14ac:dyDescent="0.55000000000000004">
      <c r="A575" s="20"/>
      <c r="B575" s="11"/>
      <c r="C575" s="22"/>
    </row>
    <row r="576" spans="1:3" ht="14.25" customHeight="1" x14ac:dyDescent="0.55000000000000004">
      <c r="A576" s="20"/>
      <c r="B576" s="11"/>
      <c r="C576" s="22"/>
    </row>
    <row r="577" spans="1:3" ht="14.25" customHeight="1" x14ac:dyDescent="0.55000000000000004">
      <c r="A577" s="20"/>
      <c r="B577" s="11"/>
      <c r="C577" s="22"/>
    </row>
    <row r="578" spans="1:3" ht="14.25" customHeight="1" x14ac:dyDescent="0.55000000000000004">
      <c r="A578" s="20"/>
      <c r="B578" s="11"/>
      <c r="C578" s="22"/>
    </row>
    <row r="579" spans="1:3" ht="14.25" customHeight="1" x14ac:dyDescent="0.55000000000000004">
      <c r="A579" s="20"/>
      <c r="B579" s="11"/>
      <c r="C579" s="22"/>
    </row>
    <row r="580" spans="1:3" ht="14.25" customHeight="1" x14ac:dyDescent="0.55000000000000004">
      <c r="A580" s="20"/>
      <c r="B580" s="11"/>
      <c r="C580" s="22"/>
    </row>
    <row r="581" spans="1:3" ht="14.25" customHeight="1" x14ac:dyDescent="0.55000000000000004">
      <c r="A581" s="20"/>
      <c r="B581" s="11"/>
      <c r="C581" s="22"/>
    </row>
    <row r="582" spans="1:3" ht="14.25" customHeight="1" x14ac:dyDescent="0.55000000000000004">
      <c r="A582" s="20"/>
      <c r="B582" s="11"/>
      <c r="C582" s="22"/>
    </row>
    <row r="583" spans="1:3" ht="14.25" customHeight="1" x14ac:dyDescent="0.55000000000000004">
      <c r="A583" s="20"/>
      <c r="B583" s="11"/>
      <c r="C583" s="22"/>
    </row>
    <row r="584" spans="1:3" ht="14.25" customHeight="1" x14ac:dyDescent="0.55000000000000004">
      <c r="A584" s="20"/>
      <c r="B584" s="11"/>
      <c r="C584" s="22"/>
    </row>
    <row r="585" spans="1:3" ht="14.25" customHeight="1" x14ac:dyDescent="0.55000000000000004">
      <c r="A585" s="20"/>
      <c r="B585" s="11"/>
      <c r="C585" s="22"/>
    </row>
    <row r="586" spans="1:3" ht="14.25" customHeight="1" x14ac:dyDescent="0.55000000000000004">
      <c r="A586" s="20"/>
      <c r="B586" s="11"/>
      <c r="C586" s="22"/>
    </row>
    <row r="587" spans="1:3" ht="14.25" customHeight="1" x14ac:dyDescent="0.55000000000000004">
      <c r="A587" s="20"/>
      <c r="B587" s="11"/>
      <c r="C587" s="22"/>
    </row>
    <row r="588" spans="1:3" ht="14.25" customHeight="1" x14ac:dyDescent="0.55000000000000004">
      <c r="A588" s="20"/>
      <c r="B588" s="11"/>
      <c r="C588" s="22"/>
    </row>
    <row r="589" spans="1:3" ht="14.25" customHeight="1" x14ac:dyDescent="0.55000000000000004">
      <c r="A589" s="20"/>
      <c r="B589" s="11"/>
      <c r="C589" s="22"/>
    </row>
    <row r="590" spans="1:3" ht="14.25" customHeight="1" x14ac:dyDescent="0.55000000000000004">
      <c r="A590" s="20"/>
      <c r="B590" s="11"/>
      <c r="C590" s="22"/>
    </row>
    <row r="591" spans="1:3" ht="14.25" customHeight="1" x14ac:dyDescent="0.55000000000000004">
      <c r="A591" s="20"/>
      <c r="B591" s="11"/>
      <c r="C591" s="22"/>
    </row>
    <row r="592" spans="1:3" ht="14.25" customHeight="1" x14ac:dyDescent="0.55000000000000004">
      <c r="A592" s="20"/>
      <c r="B592" s="11"/>
      <c r="C592" s="22"/>
    </row>
    <row r="593" spans="1:3" ht="14.25" customHeight="1" x14ac:dyDescent="0.55000000000000004">
      <c r="A593" s="20"/>
      <c r="B593" s="11"/>
      <c r="C593" s="22"/>
    </row>
    <row r="594" spans="1:3" ht="14.25" customHeight="1" x14ac:dyDescent="0.55000000000000004">
      <c r="A594" s="20"/>
      <c r="B594" s="11"/>
      <c r="C594" s="22"/>
    </row>
    <row r="595" spans="1:3" ht="14.25" customHeight="1" x14ac:dyDescent="0.55000000000000004">
      <c r="A595" s="20"/>
      <c r="B595" s="11"/>
      <c r="C595" s="22"/>
    </row>
    <row r="596" spans="1:3" ht="14.25" customHeight="1" x14ac:dyDescent="0.55000000000000004">
      <c r="A596" s="20"/>
      <c r="B596" s="11"/>
      <c r="C596" s="22"/>
    </row>
    <row r="597" spans="1:3" ht="14.25" customHeight="1" x14ac:dyDescent="0.55000000000000004">
      <c r="A597" s="20"/>
      <c r="B597" s="11"/>
      <c r="C597" s="22"/>
    </row>
    <row r="598" spans="1:3" ht="14.25" customHeight="1" x14ac:dyDescent="0.55000000000000004">
      <c r="A598" s="20"/>
      <c r="B598" s="11"/>
      <c r="C598" s="22"/>
    </row>
    <row r="599" spans="1:3" ht="14.25" customHeight="1" x14ac:dyDescent="0.55000000000000004">
      <c r="A599" s="20"/>
      <c r="B599" s="11"/>
      <c r="C599" s="22"/>
    </row>
    <row r="600" spans="1:3" ht="14.25" customHeight="1" x14ac:dyDescent="0.55000000000000004">
      <c r="A600" s="20"/>
      <c r="B600" s="11"/>
      <c r="C600" s="22"/>
    </row>
    <row r="601" spans="1:3" ht="14.25" customHeight="1" x14ac:dyDescent="0.55000000000000004">
      <c r="A601" s="20"/>
      <c r="B601" s="11"/>
      <c r="C601" s="22"/>
    </row>
    <row r="602" spans="1:3" ht="14.25" customHeight="1" x14ac:dyDescent="0.55000000000000004">
      <c r="A602" s="20"/>
      <c r="B602" s="11"/>
      <c r="C602" s="22"/>
    </row>
    <row r="603" spans="1:3" ht="14.25" customHeight="1" x14ac:dyDescent="0.55000000000000004">
      <c r="A603" s="20"/>
      <c r="B603" s="11"/>
      <c r="C603" s="22"/>
    </row>
    <row r="604" spans="1:3" ht="14.25" customHeight="1" x14ac:dyDescent="0.55000000000000004">
      <c r="A604" s="20"/>
      <c r="B604" s="11"/>
      <c r="C604" s="22"/>
    </row>
    <row r="605" spans="1:3" ht="14.25" customHeight="1" x14ac:dyDescent="0.55000000000000004">
      <c r="A605" s="20"/>
      <c r="B605" s="11"/>
      <c r="C605" s="22"/>
    </row>
    <row r="606" spans="1:3" ht="14.25" customHeight="1" x14ac:dyDescent="0.55000000000000004">
      <c r="A606" s="20"/>
      <c r="B606" s="11"/>
      <c r="C606" s="22"/>
    </row>
    <row r="607" spans="1:3" ht="14.25" customHeight="1" x14ac:dyDescent="0.55000000000000004">
      <c r="A607" s="20"/>
      <c r="B607" s="11"/>
      <c r="C607" s="22"/>
    </row>
    <row r="608" spans="1:3" ht="14.25" customHeight="1" x14ac:dyDescent="0.55000000000000004">
      <c r="A608" s="20"/>
      <c r="B608" s="11"/>
      <c r="C608" s="22"/>
    </row>
    <row r="609" spans="1:3" ht="14.25" customHeight="1" x14ac:dyDescent="0.55000000000000004">
      <c r="A609" s="20"/>
      <c r="B609" s="11"/>
      <c r="C609" s="22"/>
    </row>
    <row r="610" spans="1:3" ht="14.25" customHeight="1" x14ac:dyDescent="0.55000000000000004">
      <c r="A610" s="20"/>
      <c r="B610" s="11"/>
      <c r="C610" s="22"/>
    </row>
    <row r="611" spans="1:3" ht="14.25" customHeight="1" x14ac:dyDescent="0.55000000000000004">
      <c r="A611" s="20"/>
      <c r="B611" s="11"/>
      <c r="C611" s="22"/>
    </row>
    <row r="612" spans="1:3" ht="14.25" customHeight="1" x14ac:dyDescent="0.55000000000000004">
      <c r="A612" s="20"/>
      <c r="B612" s="11"/>
      <c r="C612" s="22"/>
    </row>
    <row r="613" spans="1:3" ht="14.25" customHeight="1" x14ac:dyDescent="0.55000000000000004">
      <c r="A613" s="20"/>
      <c r="B613" s="11"/>
      <c r="C613" s="22"/>
    </row>
    <row r="614" spans="1:3" ht="14.25" customHeight="1" x14ac:dyDescent="0.55000000000000004">
      <c r="A614" s="20"/>
      <c r="B614" s="11"/>
      <c r="C614" s="22"/>
    </row>
    <row r="615" spans="1:3" ht="14.25" customHeight="1" x14ac:dyDescent="0.55000000000000004">
      <c r="A615" s="20"/>
      <c r="B615" s="11"/>
      <c r="C615" s="22"/>
    </row>
    <row r="616" spans="1:3" ht="14.25" customHeight="1" x14ac:dyDescent="0.55000000000000004">
      <c r="A616" s="20"/>
      <c r="B616" s="11"/>
      <c r="C616" s="22"/>
    </row>
    <row r="617" spans="1:3" ht="14.25" customHeight="1" x14ac:dyDescent="0.55000000000000004">
      <c r="A617" s="20"/>
      <c r="B617" s="11"/>
      <c r="C617" s="22"/>
    </row>
    <row r="618" spans="1:3" ht="14.25" customHeight="1" x14ac:dyDescent="0.55000000000000004">
      <c r="A618" s="20"/>
      <c r="B618" s="11"/>
      <c r="C618" s="22"/>
    </row>
    <row r="619" spans="1:3" ht="14.25" customHeight="1" x14ac:dyDescent="0.55000000000000004">
      <c r="A619" s="20"/>
      <c r="B619" s="11"/>
      <c r="C619" s="22"/>
    </row>
    <row r="620" spans="1:3" ht="14.25" customHeight="1" x14ac:dyDescent="0.55000000000000004">
      <c r="A620" s="20"/>
      <c r="B620" s="11"/>
      <c r="C620" s="22"/>
    </row>
    <row r="621" spans="1:3" ht="14.25" customHeight="1" x14ac:dyDescent="0.55000000000000004">
      <c r="A621" s="20"/>
      <c r="B621" s="11"/>
      <c r="C621" s="22"/>
    </row>
    <row r="622" spans="1:3" ht="14.25" customHeight="1" x14ac:dyDescent="0.55000000000000004">
      <c r="A622" s="20"/>
      <c r="B622" s="11"/>
      <c r="C622" s="22"/>
    </row>
    <row r="623" spans="1:3" ht="14.25" customHeight="1" x14ac:dyDescent="0.55000000000000004">
      <c r="A623" s="20"/>
      <c r="B623" s="11"/>
      <c r="C623" s="22"/>
    </row>
    <row r="624" spans="1:3" ht="14.25" customHeight="1" x14ac:dyDescent="0.55000000000000004">
      <c r="A624" s="20"/>
      <c r="B624" s="11"/>
      <c r="C624" s="22"/>
    </row>
    <row r="625" spans="1:3" ht="14.25" customHeight="1" x14ac:dyDescent="0.55000000000000004">
      <c r="A625" s="20"/>
      <c r="B625" s="11"/>
      <c r="C625" s="22"/>
    </row>
    <row r="626" spans="1:3" ht="14.25" customHeight="1" x14ac:dyDescent="0.55000000000000004">
      <c r="A626" s="20"/>
      <c r="B626" s="11"/>
      <c r="C626" s="22"/>
    </row>
    <row r="627" spans="1:3" ht="14.25" customHeight="1" x14ac:dyDescent="0.55000000000000004">
      <c r="A627" s="20"/>
      <c r="B627" s="11"/>
      <c r="C627" s="22"/>
    </row>
    <row r="628" spans="1:3" ht="14.25" customHeight="1" x14ac:dyDescent="0.55000000000000004">
      <c r="A628" s="20"/>
      <c r="B628" s="11"/>
      <c r="C628" s="22"/>
    </row>
    <row r="629" spans="1:3" ht="14.25" customHeight="1" x14ac:dyDescent="0.55000000000000004">
      <c r="A629" s="20"/>
      <c r="B629" s="11"/>
      <c r="C629" s="22"/>
    </row>
    <row r="630" spans="1:3" ht="14.25" customHeight="1" x14ac:dyDescent="0.55000000000000004">
      <c r="A630" s="20"/>
      <c r="B630" s="11"/>
      <c r="C630" s="22"/>
    </row>
    <row r="631" spans="1:3" ht="14.25" customHeight="1" x14ac:dyDescent="0.55000000000000004">
      <c r="A631" s="20"/>
      <c r="B631" s="11"/>
      <c r="C631" s="22"/>
    </row>
    <row r="632" spans="1:3" ht="14.25" customHeight="1" x14ac:dyDescent="0.55000000000000004">
      <c r="A632" s="20"/>
      <c r="B632" s="11"/>
      <c r="C632" s="22"/>
    </row>
    <row r="633" spans="1:3" ht="14.25" customHeight="1" x14ac:dyDescent="0.55000000000000004">
      <c r="A633" s="20"/>
      <c r="B633" s="11"/>
      <c r="C633" s="22"/>
    </row>
    <row r="634" spans="1:3" ht="14.25" customHeight="1" x14ac:dyDescent="0.55000000000000004">
      <c r="A634" s="20"/>
      <c r="B634" s="11"/>
      <c r="C634" s="22"/>
    </row>
    <row r="635" spans="1:3" ht="14.25" customHeight="1" x14ac:dyDescent="0.55000000000000004">
      <c r="A635" s="20"/>
      <c r="B635" s="11"/>
      <c r="C635" s="22"/>
    </row>
    <row r="636" spans="1:3" ht="14.25" customHeight="1" x14ac:dyDescent="0.55000000000000004">
      <c r="A636" s="20"/>
      <c r="B636" s="11"/>
      <c r="C636" s="22"/>
    </row>
    <row r="637" spans="1:3" ht="14.25" customHeight="1" x14ac:dyDescent="0.55000000000000004">
      <c r="A637" s="20"/>
      <c r="B637" s="11"/>
      <c r="C637" s="22"/>
    </row>
    <row r="638" spans="1:3" ht="14.25" customHeight="1" x14ac:dyDescent="0.55000000000000004">
      <c r="A638" s="20"/>
      <c r="B638" s="11"/>
      <c r="C638" s="22"/>
    </row>
    <row r="639" spans="1:3" ht="14.25" customHeight="1" x14ac:dyDescent="0.55000000000000004">
      <c r="A639" s="20"/>
      <c r="B639" s="11"/>
      <c r="C639" s="22"/>
    </row>
    <row r="640" spans="1:3" ht="14.25" customHeight="1" x14ac:dyDescent="0.55000000000000004">
      <c r="A640" s="20"/>
      <c r="B640" s="11"/>
      <c r="C640" s="22"/>
    </row>
    <row r="641" spans="1:3" ht="14.25" customHeight="1" x14ac:dyDescent="0.55000000000000004">
      <c r="A641" s="20"/>
      <c r="B641" s="11"/>
      <c r="C641" s="22"/>
    </row>
    <row r="642" spans="1:3" ht="14.25" customHeight="1" x14ac:dyDescent="0.55000000000000004">
      <c r="A642" s="20"/>
      <c r="B642" s="11"/>
      <c r="C642" s="22"/>
    </row>
    <row r="643" spans="1:3" ht="14.25" customHeight="1" x14ac:dyDescent="0.55000000000000004">
      <c r="A643" s="20"/>
      <c r="B643" s="11"/>
      <c r="C643" s="22"/>
    </row>
    <row r="644" spans="1:3" ht="14.25" customHeight="1" x14ac:dyDescent="0.55000000000000004">
      <c r="A644" s="20"/>
      <c r="B644" s="11"/>
      <c r="C644" s="22"/>
    </row>
    <row r="645" spans="1:3" ht="14.25" customHeight="1" x14ac:dyDescent="0.55000000000000004">
      <c r="A645" s="20"/>
      <c r="B645" s="11"/>
      <c r="C645" s="22"/>
    </row>
    <row r="646" spans="1:3" ht="14.25" customHeight="1" x14ac:dyDescent="0.55000000000000004">
      <c r="A646" s="20"/>
      <c r="B646" s="11"/>
      <c r="C646" s="22"/>
    </row>
    <row r="647" spans="1:3" ht="14.25" customHeight="1" x14ac:dyDescent="0.55000000000000004">
      <c r="A647" s="20"/>
      <c r="B647" s="11"/>
      <c r="C647" s="22"/>
    </row>
    <row r="648" spans="1:3" ht="14.25" customHeight="1" x14ac:dyDescent="0.55000000000000004">
      <c r="A648" s="20"/>
      <c r="B648" s="11"/>
      <c r="C648" s="22"/>
    </row>
    <row r="649" spans="1:3" ht="14.25" customHeight="1" x14ac:dyDescent="0.55000000000000004">
      <c r="A649" s="20"/>
      <c r="B649" s="11"/>
      <c r="C649" s="22"/>
    </row>
    <row r="650" spans="1:3" ht="14.25" customHeight="1" x14ac:dyDescent="0.55000000000000004">
      <c r="A650" s="20"/>
      <c r="B650" s="11"/>
      <c r="C650" s="22"/>
    </row>
    <row r="651" spans="1:3" ht="14.25" customHeight="1" x14ac:dyDescent="0.55000000000000004">
      <c r="A651" s="20"/>
      <c r="B651" s="11"/>
      <c r="C651" s="22"/>
    </row>
    <row r="652" spans="1:3" ht="14.25" customHeight="1" x14ac:dyDescent="0.55000000000000004">
      <c r="A652" s="20"/>
      <c r="B652" s="11"/>
      <c r="C652" s="22"/>
    </row>
    <row r="653" spans="1:3" ht="14.25" customHeight="1" x14ac:dyDescent="0.55000000000000004">
      <c r="A653" s="20"/>
      <c r="B653" s="11"/>
      <c r="C653" s="22"/>
    </row>
    <row r="654" spans="1:3" ht="14.25" customHeight="1" x14ac:dyDescent="0.55000000000000004">
      <c r="A654" s="20"/>
      <c r="B654" s="11"/>
      <c r="C654" s="22"/>
    </row>
    <row r="655" spans="1:3" ht="14.25" customHeight="1" x14ac:dyDescent="0.55000000000000004">
      <c r="A655" s="20"/>
      <c r="B655" s="11"/>
      <c r="C655" s="22"/>
    </row>
    <row r="656" spans="1:3" ht="14.25" customHeight="1" x14ac:dyDescent="0.55000000000000004">
      <c r="A656" s="20"/>
      <c r="B656" s="11"/>
      <c r="C656" s="22"/>
    </row>
    <row r="657" spans="1:3" ht="14.25" customHeight="1" x14ac:dyDescent="0.55000000000000004">
      <c r="A657" s="20"/>
      <c r="B657" s="11"/>
      <c r="C657" s="22"/>
    </row>
    <row r="658" spans="1:3" ht="14.25" customHeight="1" x14ac:dyDescent="0.55000000000000004">
      <c r="A658" s="20"/>
      <c r="B658" s="11"/>
      <c r="C658" s="22"/>
    </row>
    <row r="659" spans="1:3" ht="14.25" customHeight="1" x14ac:dyDescent="0.55000000000000004">
      <c r="A659" s="20"/>
      <c r="B659" s="11"/>
      <c r="C659" s="22"/>
    </row>
    <row r="660" spans="1:3" ht="14.25" customHeight="1" x14ac:dyDescent="0.55000000000000004">
      <c r="A660" s="20"/>
      <c r="B660" s="11"/>
      <c r="C660" s="22"/>
    </row>
    <row r="661" spans="1:3" ht="14.25" customHeight="1" x14ac:dyDescent="0.55000000000000004">
      <c r="A661" s="20"/>
      <c r="B661" s="11"/>
      <c r="C661" s="22"/>
    </row>
    <row r="662" spans="1:3" ht="14.25" customHeight="1" x14ac:dyDescent="0.55000000000000004">
      <c r="A662" s="20"/>
      <c r="B662" s="11"/>
      <c r="C662" s="22"/>
    </row>
    <row r="663" spans="1:3" ht="14.25" customHeight="1" x14ac:dyDescent="0.55000000000000004">
      <c r="A663" s="20"/>
      <c r="B663" s="11"/>
      <c r="C663" s="22"/>
    </row>
    <row r="664" spans="1:3" ht="14.25" customHeight="1" x14ac:dyDescent="0.55000000000000004">
      <c r="A664" s="20"/>
      <c r="B664" s="11"/>
      <c r="C664" s="22"/>
    </row>
    <row r="665" spans="1:3" ht="14.25" customHeight="1" x14ac:dyDescent="0.55000000000000004">
      <c r="A665" s="20"/>
      <c r="B665" s="11"/>
      <c r="C665" s="22"/>
    </row>
    <row r="666" spans="1:3" ht="14.25" customHeight="1" x14ac:dyDescent="0.55000000000000004">
      <c r="A666" s="20"/>
      <c r="B666" s="11"/>
      <c r="C666" s="22"/>
    </row>
    <row r="667" spans="1:3" ht="14.25" customHeight="1" x14ac:dyDescent="0.55000000000000004">
      <c r="A667" s="20"/>
      <c r="B667" s="11"/>
      <c r="C667" s="22"/>
    </row>
    <row r="668" spans="1:3" ht="14.25" customHeight="1" x14ac:dyDescent="0.55000000000000004">
      <c r="A668" s="20"/>
      <c r="B668" s="11"/>
      <c r="C668" s="22"/>
    </row>
    <row r="669" spans="1:3" ht="14.25" customHeight="1" x14ac:dyDescent="0.55000000000000004">
      <c r="A669" s="20"/>
      <c r="B669" s="11"/>
      <c r="C669" s="22"/>
    </row>
    <row r="670" spans="1:3" ht="14.25" customHeight="1" x14ac:dyDescent="0.55000000000000004">
      <c r="A670" s="20"/>
      <c r="B670" s="11"/>
      <c r="C670" s="22"/>
    </row>
    <row r="671" spans="1:3" ht="14.25" customHeight="1" x14ac:dyDescent="0.55000000000000004">
      <c r="A671" s="20"/>
      <c r="B671" s="11"/>
      <c r="C671" s="22"/>
    </row>
    <row r="672" spans="1:3" ht="14.25" customHeight="1" x14ac:dyDescent="0.55000000000000004">
      <c r="A672" s="20"/>
      <c r="B672" s="11"/>
      <c r="C672" s="22"/>
    </row>
    <row r="673" spans="1:3" ht="14.25" customHeight="1" x14ac:dyDescent="0.55000000000000004">
      <c r="A673" s="20"/>
      <c r="B673" s="11"/>
      <c r="C673" s="22"/>
    </row>
    <row r="674" spans="1:3" ht="14.25" customHeight="1" x14ac:dyDescent="0.55000000000000004">
      <c r="A674" s="20"/>
      <c r="B674" s="11"/>
      <c r="C674" s="22"/>
    </row>
    <row r="675" spans="1:3" ht="14.25" customHeight="1" x14ac:dyDescent="0.55000000000000004">
      <c r="A675" s="20"/>
      <c r="B675" s="11"/>
      <c r="C675" s="22"/>
    </row>
    <row r="676" spans="1:3" ht="14.25" customHeight="1" x14ac:dyDescent="0.55000000000000004">
      <c r="A676" s="20"/>
      <c r="B676" s="11"/>
      <c r="C676" s="22"/>
    </row>
    <row r="677" spans="1:3" ht="14.25" customHeight="1" x14ac:dyDescent="0.55000000000000004">
      <c r="A677" s="20"/>
      <c r="B677" s="11"/>
      <c r="C677" s="22"/>
    </row>
    <row r="678" spans="1:3" ht="14.25" customHeight="1" x14ac:dyDescent="0.55000000000000004">
      <c r="A678" s="20"/>
      <c r="B678" s="11"/>
      <c r="C678" s="22"/>
    </row>
    <row r="679" spans="1:3" ht="14.25" customHeight="1" x14ac:dyDescent="0.55000000000000004">
      <c r="A679" s="20"/>
      <c r="B679" s="11"/>
      <c r="C679" s="22"/>
    </row>
    <row r="680" spans="1:3" ht="14.25" customHeight="1" x14ac:dyDescent="0.55000000000000004">
      <c r="A680" s="20"/>
      <c r="B680" s="11"/>
      <c r="C680" s="22"/>
    </row>
    <row r="681" spans="1:3" ht="14.25" customHeight="1" x14ac:dyDescent="0.55000000000000004">
      <c r="A681" s="20"/>
      <c r="B681" s="11"/>
      <c r="C681" s="22"/>
    </row>
    <row r="682" spans="1:3" ht="14.25" customHeight="1" x14ac:dyDescent="0.55000000000000004">
      <c r="A682" s="20"/>
      <c r="B682" s="11"/>
      <c r="C682" s="22"/>
    </row>
    <row r="683" spans="1:3" ht="14.25" customHeight="1" x14ac:dyDescent="0.55000000000000004">
      <c r="A683" s="20"/>
      <c r="B683" s="11"/>
      <c r="C683" s="22"/>
    </row>
    <row r="684" spans="1:3" ht="14.25" customHeight="1" x14ac:dyDescent="0.55000000000000004">
      <c r="A684" s="20"/>
      <c r="B684" s="11"/>
      <c r="C684" s="22"/>
    </row>
    <row r="685" spans="1:3" ht="14.25" customHeight="1" x14ac:dyDescent="0.55000000000000004">
      <c r="A685" s="20"/>
      <c r="B685" s="11"/>
      <c r="C685" s="22"/>
    </row>
    <row r="686" spans="1:3" ht="14.25" customHeight="1" x14ac:dyDescent="0.55000000000000004">
      <c r="A686" s="20"/>
      <c r="B686" s="11"/>
      <c r="C686" s="22"/>
    </row>
    <row r="687" spans="1:3" ht="14.25" customHeight="1" x14ac:dyDescent="0.55000000000000004">
      <c r="A687" s="20"/>
      <c r="B687" s="11"/>
      <c r="C687" s="22"/>
    </row>
    <row r="688" spans="1:3" ht="14.25" customHeight="1" x14ac:dyDescent="0.55000000000000004">
      <c r="A688" s="20"/>
      <c r="B688" s="11"/>
      <c r="C688" s="22"/>
    </row>
    <row r="689" spans="1:3" ht="14.25" customHeight="1" x14ac:dyDescent="0.55000000000000004">
      <c r="A689" s="20"/>
      <c r="B689" s="11"/>
      <c r="C689" s="22"/>
    </row>
    <row r="690" spans="1:3" ht="14.25" customHeight="1" x14ac:dyDescent="0.55000000000000004">
      <c r="A690" s="20"/>
      <c r="B690" s="11"/>
      <c r="C690" s="22"/>
    </row>
    <row r="691" spans="1:3" ht="14.25" customHeight="1" x14ac:dyDescent="0.55000000000000004">
      <c r="A691" s="20"/>
      <c r="B691" s="11"/>
      <c r="C691" s="22"/>
    </row>
    <row r="692" spans="1:3" ht="14.25" customHeight="1" x14ac:dyDescent="0.55000000000000004">
      <c r="A692" s="20"/>
      <c r="B692" s="11"/>
      <c r="C692" s="22"/>
    </row>
    <row r="693" spans="1:3" ht="14.25" customHeight="1" x14ac:dyDescent="0.55000000000000004">
      <c r="A693" s="20"/>
      <c r="B693" s="11"/>
      <c r="C693" s="22"/>
    </row>
    <row r="694" spans="1:3" ht="14.25" customHeight="1" x14ac:dyDescent="0.55000000000000004">
      <c r="A694" s="20"/>
      <c r="B694" s="11"/>
      <c r="C694" s="22"/>
    </row>
    <row r="695" spans="1:3" ht="14.25" customHeight="1" x14ac:dyDescent="0.55000000000000004">
      <c r="A695" s="20"/>
      <c r="B695" s="11"/>
      <c r="C695" s="22"/>
    </row>
    <row r="696" spans="1:3" ht="14.25" customHeight="1" x14ac:dyDescent="0.55000000000000004">
      <c r="A696" s="20"/>
      <c r="B696" s="11"/>
      <c r="C696" s="22"/>
    </row>
    <row r="697" spans="1:3" ht="14.25" customHeight="1" x14ac:dyDescent="0.55000000000000004">
      <c r="A697" s="20"/>
      <c r="B697" s="11"/>
      <c r="C697" s="22"/>
    </row>
    <row r="698" spans="1:3" ht="14.25" customHeight="1" x14ac:dyDescent="0.55000000000000004">
      <c r="A698" s="20"/>
      <c r="B698" s="11"/>
      <c r="C698" s="22"/>
    </row>
    <row r="699" spans="1:3" ht="14.25" customHeight="1" x14ac:dyDescent="0.55000000000000004">
      <c r="A699" s="20"/>
      <c r="B699" s="11"/>
      <c r="C699" s="22"/>
    </row>
    <row r="700" spans="1:3" ht="14.25" customHeight="1" x14ac:dyDescent="0.55000000000000004">
      <c r="A700" s="20"/>
      <c r="B700" s="11"/>
      <c r="C700" s="22"/>
    </row>
    <row r="701" spans="1:3" ht="14.25" customHeight="1" x14ac:dyDescent="0.55000000000000004">
      <c r="A701" s="20"/>
      <c r="B701" s="11"/>
      <c r="C701" s="22"/>
    </row>
    <row r="702" spans="1:3" ht="14.25" customHeight="1" x14ac:dyDescent="0.55000000000000004">
      <c r="A702" s="20"/>
      <c r="B702" s="11"/>
      <c r="C702" s="22"/>
    </row>
    <row r="703" spans="1:3" ht="14.25" customHeight="1" x14ac:dyDescent="0.55000000000000004">
      <c r="A703" s="20"/>
      <c r="B703" s="11"/>
      <c r="C703" s="22"/>
    </row>
    <row r="704" spans="1:3" ht="14.25" customHeight="1" x14ac:dyDescent="0.55000000000000004">
      <c r="A704" s="20"/>
      <c r="B704" s="11"/>
      <c r="C704" s="22"/>
    </row>
    <row r="705" spans="1:3" ht="14.25" customHeight="1" x14ac:dyDescent="0.55000000000000004">
      <c r="A705" s="20"/>
      <c r="B705" s="11"/>
      <c r="C705" s="22"/>
    </row>
    <row r="706" spans="1:3" ht="14.25" customHeight="1" x14ac:dyDescent="0.55000000000000004">
      <c r="A706" s="20"/>
      <c r="B706" s="11"/>
      <c r="C706" s="22"/>
    </row>
    <row r="707" spans="1:3" ht="14.25" customHeight="1" x14ac:dyDescent="0.55000000000000004">
      <c r="A707" s="20"/>
      <c r="B707" s="11"/>
      <c r="C707" s="22"/>
    </row>
    <row r="708" spans="1:3" ht="14.25" customHeight="1" x14ac:dyDescent="0.55000000000000004">
      <c r="A708" s="20"/>
      <c r="B708" s="11"/>
      <c r="C708" s="22"/>
    </row>
    <row r="709" spans="1:3" ht="14.25" customHeight="1" x14ac:dyDescent="0.55000000000000004">
      <c r="A709" s="20"/>
      <c r="B709" s="11"/>
      <c r="C709" s="22"/>
    </row>
    <row r="710" spans="1:3" ht="14.25" customHeight="1" x14ac:dyDescent="0.55000000000000004">
      <c r="A710" s="20"/>
      <c r="B710" s="11"/>
      <c r="C710" s="22"/>
    </row>
    <row r="711" spans="1:3" ht="14.25" customHeight="1" x14ac:dyDescent="0.55000000000000004">
      <c r="A711" s="20"/>
      <c r="B711" s="11"/>
      <c r="C711" s="22"/>
    </row>
    <row r="712" spans="1:3" ht="14.25" customHeight="1" x14ac:dyDescent="0.55000000000000004">
      <c r="A712" s="20"/>
      <c r="B712" s="11"/>
      <c r="C712" s="22"/>
    </row>
    <row r="713" spans="1:3" ht="14.25" customHeight="1" x14ac:dyDescent="0.55000000000000004">
      <c r="A713" s="20"/>
      <c r="B713" s="11"/>
      <c r="C713" s="22"/>
    </row>
    <row r="714" spans="1:3" ht="14.25" customHeight="1" x14ac:dyDescent="0.55000000000000004">
      <c r="A714" s="20"/>
      <c r="B714" s="11"/>
      <c r="C714" s="22"/>
    </row>
    <row r="715" spans="1:3" ht="14.25" customHeight="1" x14ac:dyDescent="0.55000000000000004">
      <c r="A715" s="20"/>
      <c r="B715" s="11"/>
      <c r="C715" s="22"/>
    </row>
    <row r="716" spans="1:3" ht="14.25" customHeight="1" x14ac:dyDescent="0.55000000000000004">
      <c r="A716" s="20"/>
      <c r="B716" s="11"/>
      <c r="C716" s="22"/>
    </row>
    <row r="717" spans="1:3" ht="14.25" customHeight="1" x14ac:dyDescent="0.55000000000000004">
      <c r="A717" s="20"/>
      <c r="B717" s="11"/>
      <c r="C717" s="22"/>
    </row>
    <row r="718" spans="1:3" ht="14.25" customHeight="1" x14ac:dyDescent="0.55000000000000004">
      <c r="A718" s="20"/>
      <c r="B718" s="11"/>
      <c r="C718" s="22"/>
    </row>
    <row r="719" spans="1:3" ht="14.25" customHeight="1" x14ac:dyDescent="0.55000000000000004">
      <c r="A719" s="20"/>
      <c r="B719" s="11"/>
      <c r="C719" s="22"/>
    </row>
    <row r="720" spans="1:3" ht="14.25" customHeight="1" x14ac:dyDescent="0.55000000000000004">
      <c r="A720" s="20"/>
      <c r="B720" s="11"/>
      <c r="C720" s="22"/>
    </row>
    <row r="721" spans="1:3" ht="14.25" customHeight="1" x14ac:dyDescent="0.55000000000000004">
      <c r="A721" s="20"/>
      <c r="B721" s="11"/>
      <c r="C721" s="22"/>
    </row>
    <row r="722" spans="1:3" ht="14.25" customHeight="1" x14ac:dyDescent="0.55000000000000004">
      <c r="A722" s="20"/>
      <c r="B722" s="11"/>
      <c r="C722" s="22"/>
    </row>
    <row r="723" spans="1:3" ht="14.25" customHeight="1" x14ac:dyDescent="0.55000000000000004">
      <c r="A723" s="20"/>
      <c r="B723" s="11"/>
      <c r="C723" s="22"/>
    </row>
    <row r="724" spans="1:3" ht="14.25" customHeight="1" x14ac:dyDescent="0.55000000000000004">
      <c r="A724" s="20"/>
      <c r="B724" s="11"/>
      <c r="C724" s="22"/>
    </row>
    <row r="725" spans="1:3" ht="14.25" customHeight="1" x14ac:dyDescent="0.55000000000000004">
      <c r="A725" s="20"/>
      <c r="B725" s="11"/>
      <c r="C725" s="22"/>
    </row>
    <row r="726" spans="1:3" ht="14.25" customHeight="1" x14ac:dyDescent="0.55000000000000004">
      <c r="A726" s="20"/>
      <c r="B726" s="11"/>
      <c r="C726" s="22"/>
    </row>
    <row r="727" spans="1:3" ht="14.25" customHeight="1" x14ac:dyDescent="0.55000000000000004">
      <c r="A727" s="20"/>
      <c r="B727" s="11"/>
      <c r="C727" s="22"/>
    </row>
    <row r="728" spans="1:3" ht="14.25" customHeight="1" x14ac:dyDescent="0.55000000000000004">
      <c r="A728" s="20"/>
      <c r="B728" s="11"/>
      <c r="C728" s="22"/>
    </row>
    <row r="729" spans="1:3" ht="14.25" customHeight="1" x14ac:dyDescent="0.55000000000000004">
      <c r="A729" s="20"/>
      <c r="B729" s="11"/>
      <c r="C729" s="22"/>
    </row>
    <row r="730" spans="1:3" ht="14.25" customHeight="1" x14ac:dyDescent="0.55000000000000004">
      <c r="A730" s="20"/>
      <c r="B730" s="11"/>
      <c r="C730" s="22"/>
    </row>
    <row r="731" spans="1:3" ht="14.25" customHeight="1" x14ac:dyDescent="0.55000000000000004">
      <c r="A731" s="20"/>
      <c r="B731" s="11"/>
      <c r="C731" s="22"/>
    </row>
    <row r="732" spans="1:3" ht="14.25" customHeight="1" x14ac:dyDescent="0.55000000000000004">
      <c r="A732" s="20"/>
      <c r="B732" s="11"/>
      <c r="C732" s="22"/>
    </row>
    <row r="733" spans="1:3" ht="14.25" customHeight="1" x14ac:dyDescent="0.55000000000000004">
      <c r="A733" s="20"/>
      <c r="B733" s="11"/>
      <c r="C733" s="22"/>
    </row>
    <row r="734" spans="1:3" ht="14.25" customHeight="1" x14ac:dyDescent="0.55000000000000004">
      <c r="A734" s="20"/>
      <c r="B734" s="11"/>
      <c r="C734" s="22"/>
    </row>
    <row r="735" spans="1:3" ht="14.25" customHeight="1" x14ac:dyDescent="0.55000000000000004">
      <c r="A735" s="20"/>
      <c r="B735" s="11"/>
      <c r="C735" s="22"/>
    </row>
    <row r="736" spans="1:3" ht="14.25" customHeight="1" x14ac:dyDescent="0.55000000000000004">
      <c r="A736" s="20"/>
      <c r="B736" s="11"/>
      <c r="C736" s="22"/>
    </row>
    <row r="737" spans="1:3" ht="14.25" customHeight="1" x14ac:dyDescent="0.55000000000000004">
      <c r="A737" s="20"/>
      <c r="B737" s="11"/>
      <c r="C737" s="22"/>
    </row>
    <row r="738" spans="1:3" ht="14.25" customHeight="1" x14ac:dyDescent="0.55000000000000004">
      <c r="A738" s="20"/>
      <c r="B738" s="11"/>
      <c r="C738" s="22"/>
    </row>
    <row r="739" spans="1:3" ht="14.25" customHeight="1" x14ac:dyDescent="0.55000000000000004">
      <c r="A739" s="20"/>
      <c r="B739" s="11"/>
      <c r="C739" s="22"/>
    </row>
    <row r="740" spans="1:3" ht="14.25" customHeight="1" x14ac:dyDescent="0.55000000000000004">
      <c r="A740" s="20"/>
      <c r="B740" s="11"/>
      <c r="C740" s="22"/>
    </row>
    <row r="741" spans="1:3" ht="14.25" customHeight="1" x14ac:dyDescent="0.55000000000000004">
      <c r="A741" s="20"/>
      <c r="B741" s="11"/>
      <c r="C741" s="22"/>
    </row>
    <row r="742" spans="1:3" ht="14.25" customHeight="1" x14ac:dyDescent="0.55000000000000004">
      <c r="A742" s="20"/>
      <c r="B742" s="11"/>
      <c r="C742" s="22"/>
    </row>
    <row r="743" spans="1:3" ht="14.25" customHeight="1" x14ac:dyDescent="0.55000000000000004">
      <c r="A743" s="20"/>
      <c r="B743" s="11"/>
      <c r="C743" s="22"/>
    </row>
    <row r="744" spans="1:3" ht="14.25" customHeight="1" x14ac:dyDescent="0.55000000000000004">
      <c r="A744" s="20"/>
      <c r="B744" s="11"/>
      <c r="C744" s="22"/>
    </row>
    <row r="745" spans="1:3" ht="14.25" customHeight="1" x14ac:dyDescent="0.55000000000000004">
      <c r="A745" s="20"/>
      <c r="B745" s="11"/>
      <c r="C745" s="22"/>
    </row>
    <row r="746" spans="1:3" ht="14.25" customHeight="1" x14ac:dyDescent="0.55000000000000004">
      <c r="A746" s="20"/>
      <c r="B746" s="11"/>
      <c r="C746" s="22"/>
    </row>
    <row r="747" spans="1:3" ht="14.25" customHeight="1" x14ac:dyDescent="0.55000000000000004">
      <c r="A747" s="20"/>
      <c r="B747" s="11"/>
      <c r="C747" s="22"/>
    </row>
    <row r="748" spans="1:3" ht="14.25" customHeight="1" x14ac:dyDescent="0.55000000000000004">
      <c r="A748" s="20"/>
      <c r="B748" s="11"/>
      <c r="C748" s="22"/>
    </row>
    <row r="749" spans="1:3" ht="14.25" customHeight="1" x14ac:dyDescent="0.55000000000000004">
      <c r="A749" s="20"/>
      <c r="B749" s="11"/>
      <c r="C749" s="22"/>
    </row>
    <row r="750" spans="1:3" ht="14.25" customHeight="1" x14ac:dyDescent="0.55000000000000004">
      <c r="A750" s="20"/>
      <c r="B750" s="11"/>
      <c r="C750" s="22"/>
    </row>
    <row r="751" spans="1:3" ht="14.25" customHeight="1" x14ac:dyDescent="0.55000000000000004">
      <c r="A751" s="20"/>
      <c r="B751" s="11"/>
      <c r="C751" s="22"/>
    </row>
    <row r="752" spans="1:3" ht="14.25" customHeight="1" x14ac:dyDescent="0.55000000000000004">
      <c r="A752" s="20"/>
      <c r="B752" s="11"/>
      <c r="C752" s="22"/>
    </row>
    <row r="753" spans="1:3" ht="14.25" customHeight="1" x14ac:dyDescent="0.55000000000000004">
      <c r="A753" s="20"/>
      <c r="B753" s="11"/>
      <c r="C753" s="22"/>
    </row>
    <row r="754" spans="1:3" ht="14.25" customHeight="1" x14ac:dyDescent="0.55000000000000004">
      <c r="A754" s="20"/>
      <c r="B754" s="11"/>
      <c r="C754" s="22"/>
    </row>
    <row r="755" spans="1:3" ht="14.25" customHeight="1" x14ac:dyDescent="0.55000000000000004">
      <c r="A755" s="20"/>
      <c r="B755" s="11"/>
      <c r="C755" s="22"/>
    </row>
    <row r="756" spans="1:3" ht="14.25" customHeight="1" x14ac:dyDescent="0.55000000000000004">
      <c r="A756" s="20"/>
      <c r="B756" s="11"/>
      <c r="C756" s="22"/>
    </row>
    <row r="757" spans="1:3" ht="14.25" customHeight="1" x14ac:dyDescent="0.55000000000000004">
      <c r="A757" s="20"/>
      <c r="B757" s="11"/>
      <c r="C757" s="22"/>
    </row>
    <row r="758" spans="1:3" ht="14.25" customHeight="1" x14ac:dyDescent="0.55000000000000004">
      <c r="A758" s="20"/>
      <c r="B758" s="11"/>
      <c r="C758" s="22"/>
    </row>
    <row r="759" spans="1:3" ht="14.25" customHeight="1" x14ac:dyDescent="0.55000000000000004">
      <c r="A759" s="20"/>
      <c r="B759" s="11"/>
      <c r="C759" s="22"/>
    </row>
    <row r="760" spans="1:3" ht="14.25" customHeight="1" x14ac:dyDescent="0.55000000000000004">
      <c r="A760" s="20"/>
      <c r="B760" s="11"/>
      <c r="C760" s="22"/>
    </row>
    <row r="761" spans="1:3" ht="14.25" customHeight="1" x14ac:dyDescent="0.55000000000000004">
      <c r="A761" s="20"/>
      <c r="B761" s="11"/>
      <c r="C761" s="22"/>
    </row>
    <row r="762" spans="1:3" ht="14.25" customHeight="1" x14ac:dyDescent="0.55000000000000004">
      <c r="A762" s="20"/>
      <c r="B762" s="11"/>
      <c r="C762" s="22"/>
    </row>
    <row r="763" spans="1:3" ht="14.25" customHeight="1" x14ac:dyDescent="0.55000000000000004">
      <c r="A763" s="20"/>
      <c r="B763" s="11"/>
      <c r="C763" s="22"/>
    </row>
    <row r="764" spans="1:3" ht="14.25" customHeight="1" x14ac:dyDescent="0.55000000000000004">
      <c r="A764" s="20"/>
      <c r="B764" s="11"/>
      <c r="C764" s="22"/>
    </row>
    <row r="765" spans="1:3" ht="14.25" customHeight="1" x14ac:dyDescent="0.55000000000000004">
      <c r="A765" s="20"/>
      <c r="B765" s="11"/>
      <c r="C765" s="22"/>
    </row>
    <row r="766" spans="1:3" ht="14.25" customHeight="1" x14ac:dyDescent="0.55000000000000004">
      <c r="A766" s="20"/>
      <c r="B766" s="11"/>
      <c r="C766" s="22"/>
    </row>
    <row r="767" spans="1:3" ht="14.25" customHeight="1" x14ac:dyDescent="0.55000000000000004">
      <c r="A767" s="20"/>
      <c r="B767" s="11"/>
      <c r="C767" s="22"/>
    </row>
    <row r="768" spans="1:3" ht="14.25" customHeight="1" x14ac:dyDescent="0.55000000000000004">
      <c r="A768" s="20"/>
      <c r="B768" s="11"/>
      <c r="C768" s="22"/>
    </row>
    <row r="769" spans="1:3" ht="14.25" customHeight="1" x14ac:dyDescent="0.55000000000000004">
      <c r="A769" s="20"/>
      <c r="B769" s="11"/>
      <c r="C769" s="22"/>
    </row>
    <row r="770" spans="1:3" ht="14.25" customHeight="1" x14ac:dyDescent="0.55000000000000004">
      <c r="A770" s="20"/>
      <c r="B770" s="11"/>
      <c r="C770" s="22"/>
    </row>
    <row r="771" spans="1:3" ht="14.25" customHeight="1" x14ac:dyDescent="0.55000000000000004">
      <c r="A771" s="20"/>
      <c r="B771" s="11"/>
      <c r="C771" s="22"/>
    </row>
    <row r="772" spans="1:3" ht="14.25" customHeight="1" x14ac:dyDescent="0.55000000000000004">
      <c r="A772" s="20"/>
      <c r="B772" s="11"/>
      <c r="C772" s="22"/>
    </row>
    <row r="773" spans="1:3" ht="14.25" customHeight="1" x14ac:dyDescent="0.55000000000000004">
      <c r="A773" s="20"/>
      <c r="B773" s="11"/>
      <c r="C773" s="22"/>
    </row>
    <row r="774" spans="1:3" ht="14.25" customHeight="1" x14ac:dyDescent="0.55000000000000004">
      <c r="A774" s="20"/>
      <c r="B774" s="11"/>
      <c r="C774" s="22"/>
    </row>
    <row r="775" spans="1:3" ht="14.25" customHeight="1" x14ac:dyDescent="0.55000000000000004">
      <c r="A775" s="20"/>
      <c r="B775" s="11"/>
      <c r="C775" s="22"/>
    </row>
    <row r="776" spans="1:3" ht="14.25" customHeight="1" x14ac:dyDescent="0.55000000000000004">
      <c r="A776" s="20"/>
      <c r="B776" s="11"/>
      <c r="C776" s="22"/>
    </row>
    <row r="777" spans="1:3" ht="14.25" customHeight="1" x14ac:dyDescent="0.55000000000000004">
      <c r="A777" s="20"/>
      <c r="B777" s="11"/>
      <c r="C777" s="22"/>
    </row>
    <row r="778" spans="1:3" ht="14.25" customHeight="1" x14ac:dyDescent="0.55000000000000004">
      <c r="A778" s="20"/>
      <c r="B778" s="11"/>
      <c r="C778" s="22"/>
    </row>
    <row r="779" spans="1:3" ht="14.25" customHeight="1" x14ac:dyDescent="0.55000000000000004">
      <c r="A779" s="20"/>
      <c r="B779" s="11"/>
      <c r="C779" s="22"/>
    </row>
    <row r="780" spans="1:3" ht="14.25" customHeight="1" x14ac:dyDescent="0.55000000000000004">
      <c r="A780" s="20"/>
      <c r="B780" s="11"/>
      <c r="C780" s="22"/>
    </row>
    <row r="781" spans="1:3" ht="14.25" customHeight="1" x14ac:dyDescent="0.55000000000000004">
      <c r="A781" s="20"/>
      <c r="B781" s="11"/>
      <c r="C781" s="22"/>
    </row>
    <row r="782" spans="1:3" ht="14.25" customHeight="1" x14ac:dyDescent="0.55000000000000004">
      <c r="A782" s="20"/>
      <c r="B782" s="11"/>
      <c r="C782" s="22"/>
    </row>
    <row r="783" spans="1:3" ht="14.25" customHeight="1" x14ac:dyDescent="0.55000000000000004">
      <c r="A783" s="20"/>
      <c r="B783" s="11"/>
      <c r="C783" s="22"/>
    </row>
    <row r="784" spans="1:3" ht="14.25" customHeight="1" x14ac:dyDescent="0.55000000000000004">
      <c r="A784" s="20"/>
      <c r="B784" s="11"/>
      <c r="C784" s="22"/>
    </row>
    <row r="785" spans="1:3" ht="14.25" customHeight="1" x14ac:dyDescent="0.55000000000000004">
      <c r="A785" s="20"/>
      <c r="B785" s="11"/>
      <c r="C785" s="22"/>
    </row>
    <row r="786" spans="1:3" ht="14.25" customHeight="1" x14ac:dyDescent="0.55000000000000004">
      <c r="A786" s="20"/>
      <c r="B786" s="11"/>
      <c r="C786" s="22"/>
    </row>
    <row r="787" spans="1:3" ht="14.25" customHeight="1" x14ac:dyDescent="0.55000000000000004">
      <c r="A787" s="20"/>
      <c r="B787" s="11"/>
      <c r="C787" s="22"/>
    </row>
    <row r="788" spans="1:3" ht="14.25" customHeight="1" x14ac:dyDescent="0.55000000000000004">
      <c r="A788" s="20"/>
      <c r="B788" s="11"/>
      <c r="C788" s="22"/>
    </row>
    <row r="789" spans="1:3" ht="14.25" customHeight="1" x14ac:dyDescent="0.55000000000000004">
      <c r="A789" s="20"/>
      <c r="B789" s="11"/>
      <c r="C789" s="22"/>
    </row>
    <row r="790" spans="1:3" ht="14.25" customHeight="1" x14ac:dyDescent="0.55000000000000004">
      <c r="A790" s="20"/>
      <c r="B790" s="11"/>
      <c r="C790" s="22"/>
    </row>
    <row r="791" spans="1:3" ht="14.25" customHeight="1" x14ac:dyDescent="0.55000000000000004">
      <c r="A791" s="20"/>
      <c r="B791" s="11"/>
      <c r="C791" s="22"/>
    </row>
    <row r="792" spans="1:3" ht="14.25" customHeight="1" x14ac:dyDescent="0.55000000000000004">
      <c r="A792" s="20"/>
      <c r="B792" s="11"/>
      <c r="C792" s="22"/>
    </row>
    <row r="793" spans="1:3" ht="14.25" customHeight="1" x14ac:dyDescent="0.55000000000000004">
      <c r="A793" s="20"/>
      <c r="B793" s="11"/>
      <c r="C793" s="22"/>
    </row>
    <row r="794" spans="1:3" ht="14.25" customHeight="1" x14ac:dyDescent="0.55000000000000004">
      <c r="A794" s="20"/>
      <c r="B794" s="11"/>
      <c r="C794" s="22"/>
    </row>
    <row r="795" spans="1:3" ht="14.25" customHeight="1" x14ac:dyDescent="0.55000000000000004">
      <c r="A795" s="20"/>
      <c r="B795" s="11"/>
      <c r="C795" s="22"/>
    </row>
    <row r="796" spans="1:3" ht="14.25" customHeight="1" x14ac:dyDescent="0.55000000000000004">
      <c r="A796" s="20"/>
      <c r="B796" s="11"/>
      <c r="C796" s="22"/>
    </row>
    <row r="797" spans="1:3" ht="14.25" customHeight="1" x14ac:dyDescent="0.55000000000000004">
      <c r="A797" s="20"/>
      <c r="B797" s="11"/>
      <c r="C797" s="22"/>
    </row>
    <row r="798" spans="1:3" ht="14.25" customHeight="1" x14ac:dyDescent="0.55000000000000004">
      <c r="A798" s="20"/>
      <c r="B798" s="11"/>
      <c r="C798" s="22"/>
    </row>
    <row r="799" spans="1:3" ht="14.25" customHeight="1" x14ac:dyDescent="0.55000000000000004">
      <c r="A799" s="20"/>
      <c r="B799" s="11"/>
      <c r="C799" s="22"/>
    </row>
    <row r="800" spans="1:3" ht="14.25" customHeight="1" x14ac:dyDescent="0.55000000000000004">
      <c r="A800" s="20"/>
      <c r="B800" s="11"/>
      <c r="C800" s="22"/>
    </row>
    <row r="801" spans="1:3" ht="14.25" customHeight="1" x14ac:dyDescent="0.55000000000000004">
      <c r="A801" s="20"/>
      <c r="B801" s="11"/>
      <c r="C801" s="22"/>
    </row>
    <row r="802" spans="1:3" ht="14.25" customHeight="1" x14ac:dyDescent="0.55000000000000004">
      <c r="A802" s="20"/>
      <c r="B802" s="11"/>
      <c r="C802" s="22"/>
    </row>
    <row r="803" spans="1:3" ht="14.25" customHeight="1" x14ac:dyDescent="0.55000000000000004">
      <c r="A803" s="20"/>
      <c r="B803" s="11"/>
      <c r="C803" s="22"/>
    </row>
    <row r="804" spans="1:3" ht="14.25" customHeight="1" x14ac:dyDescent="0.55000000000000004">
      <c r="A804" s="20"/>
      <c r="B804" s="11"/>
      <c r="C804" s="22"/>
    </row>
    <row r="805" spans="1:3" ht="14.25" customHeight="1" x14ac:dyDescent="0.55000000000000004">
      <c r="A805" s="20"/>
      <c r="B805" s="11"/>
      <c r="C805" s="22"/>
    </row>
    <row r="806" spans="1:3" ht="14.25" customHeight="1" x14ac:dyDescent="0.55000000000000004">
      <c r="A806" s="20"/>
      <c r="B806" s="11"/>
      <c r="C806" s="22"/>
    </row>
    <row r="807" spans="1:3" ht="14.25" customHeight="1" x14ac:dyDescent="0.55000000000000004">
      <c r="A807" s="20"/>
      <c r="B807" s="11"/>
      <c r="C807" s="22"/>
    </row>
    <row r="808" spans="1:3" ht="14.25" customHeight="1" x14ac:dyDescent="0.55000000000000004">
      <c r="A808" s="20"/>
      <c r="B808" s="11"/>
      <c r="C808" s="22"/>
    </row>
    <row r="809" spans="1:3" ht="14.25" customHeight="1" x14ac:dyDescent="0.55000000000000004">
      <c r="A809" s="20"/>
      <c r="B809" s="11"/>
      <c r="C809" s="22"/>
    </row>
    <row r="810" spans="1:3" ht="14.25" customHeight="1" x14ac:dyDescent="0.55000000000000004">
      <c r="A810" s="20"/>
      <c r="B810" s="11"/>
      <c r="C810" s="22"/>
    </row>
    <row r="811" spans="1:3" ht="14.25" customHeight="1" x14ac:dyDescent="0.55000000000000004">
      <c r="A811" s="20"/>
      <c r="B811" s="11"/>
      <c r="C811" s="22"/>
    </row>
    <row r="812" spans="1:3" ht="14.25" customHeight="1" x14ac:dyDescent="0.55000000000000004">
      <c r="A812" s="20"/>
      <c r="B812" s="11"/>
      <c r="C812" s="22"/>
    </row>
    <row r="813" spans="1:3" ht="14.25" customHeight="1" x14ac:dyDescent="0.55000000000000004">
      <c r="A813" s="20"/>
      <c r="B813" s="11"/>
      <c r="C813" s="22"/>
    </row>
    <row r="814" spans="1:3" ht="14.25" customHeight="1" x14ac:dyDescent="0.55000000000000004">
      <c r="A814" s="20"/>
      <c r="B814" s="11"/>
      <c r="C814" s="22"/>
    </row>
    <row r="815" spans="1:3" ht="14.25" customHeight="1" x14ac:dyDescent="0.55000000000000004">
      <c r="A815" s="20"/>
      <c r="B815" s="11"/>
      <c r="C815" s="22"/>
    </row>
    <row r="816" spans="1:3" ht="14.25" customHeight="1" x14ac:dyDescent="0.55000000000000004">
      <c r="A816" s="20"/>
      <c r="B816" s="11"/>
      <c r="C816" s="22"/>
    </row>
    <row r="817" spans="1:3" ht="14.25" customHeight="1" x14ac:dyDescent="0.55000000000000004">
      <c r="A817" s="20"/>
      <c r="B817" s="11"/>
      <c r="C817" s="22"/>
    </row>
    <row r="818" spans="1:3" ht="14.25" customHeight="1" x14ac:dyDescent="0.55000000000000004">
      <c r="A818" s="20"/>
      <c r="B818" s="11"/>
      <c r="C818" s="22"/>
    </row>
    <row r="819" spans="1:3" ht="14.25" customHeight="1" x14ac:dyDescent="0.55000000000000004">
      <c r="A819" s="20"/>
      <c r="B819" s="11"/>
      <c r="C819" s="22"/>
    </row>
    <row r="820" spans="1:3" ht="14.25" customHeight="1" x14ac:dyDescent="0.55000000000000004">
      <c r="A820" s="20"/>
      <c r="B820" s="11"/>
      <c r="C820" s="22"/>
    </row>
    <row r="821" spans="1:3" ht="14.25" customHeight="1" x14ac:dyDescent="0.55000000000000004">
      <c r="A821" s="20"/>
      <c r="B821" s="11"/>
      <c r="C821" s="22"/>
    </row>
    <row r="822" spans="1:3" ht="14.25" customHeight="1" x14ac:dyDescent="0.55000000000000004">
      <c r="A822" s="20"/>
      <c r="B822" s="11"/>
      <c r="C822" s="22"/>
    </row>
    <row r="823" spans="1:3" ht="14.25" customHeight="1" x14ac:dyDescent="0.55000000000000004">
      <c r="A823" s="20"/>
      <c r="B823" s="11"/>
      <c r="C823" s="22"/>
    </row>
    <row r="824" spans="1:3" ht="14.25" customHeight="1" x14ac:dyDescent="0.55000000000000004">
      <c r="A824" s="20"/>
      <c r="B824" s="11"/>
      <c r="C824" s="22"/>
    </row>
    <row r="825" spans="1:3" ht="14.25" customHeight="1" x14ac:dyDescent="0.55000000000000004">
      <c r="A825" s="20"/>
      <c r="B825" s="11"/>
      <c r="C825" s="22"/>
    </row>
    <row r="826" spans="1:3" ht="14.25" customHeight="1" x14ac:dyDescent="0.55000000000000004">
      <c r="A826" s="20"/>
      <c r="B826" s="11"/>
      <c r="C826" s="22"/>
    </row>
    <row r="827" spans="1:3" ht="14.25" customHeight="1" x14ac:dyDescent="0.55000000000000004">
      <c r="A827" s="20"/>
      <c r="B827" s="11"/>
      <c r="C827" s="22"/>
    </row>
    <row r="828" spans="1:3" ht="14.25" customHeight="1" x14ac:dyDescent="0.55000000000000004">
      <c r="A828" s="20"/>
      <c r="B828" s="11"/>
      <c r="C828" s="22"/>
    </row>
    <row r="829" spans="1:3" ht="14.25" customHeight="1" x14ac:dyDescent="0.55000000000000004">
      <c r="A829" s="20"/>
      <c r="B829" s="11"/>
      <c r="C829" s="22"/>
    </row>
    <row r="830" spans="1:3" ht="14.25" customHeight="1" x14ac:dyDescent="0.55000000000000004">
      <c r="A830" s="20"/>
      <c r="B830" s="11"/>
      <c r="C830" s="22"/>
    </row>
    <row r="831" spans="1:3" ht="14.25" customHeight="1" x14ac:dyDescent="0.55000000000000004">
      <c r="A831" s="20"/>
      <c r="B831" s="11"/>
      <c r="C831" s="22"/>
    </row>
    <row r="832" spans="1:3" ht="14.25" customHeight="1" x14ac:dyDescent="0.55000000000000004">
      <c r="A832" s="20"/>
      <c r="B832" s="11"/>
      <c r="C832" s="22"/>
    </row>
    <row r="833" spans="1:3" ht="14.25" customHeight="1" x14ac:dyDescent="0.55000000000000004">
      <c r="A833" s="20"/>
      <c r="B833" s="11"/>
      <c r="C833" s="22"/>
    </row>
    <row r="834" spans="1:3" ht="14.25" customHeight="1" x14ac:dyDescent="0.55000000000000004">
      <c r="A834" s="20"/>
      <c r="B834" s="11"/>
      <c r="C834" s="22"/>
    </row>
    <row r="835" spans="1:3" ht="14.25" customHeight="1" x14ac:dyDescent="0.55000000000000004">
      <c r="A835" s="20"/>
      <c r="B835" s="11"/>
      <c r="C835" s="22"/>
    </row>
    <row r="836" spans="1:3" ht="14.25" customHeight="1" x14ac:dyDescent="0.55000000000000004">
      <c r="A836" s="20"/>
      <c r="B836" s="11"/>
      <c r="C836" s="22"/>
    </row>
    <row r="837" spans="1:3" ht="14.25" customHeight="1" x14ac:dyDescent="0.55000000000000004">
      <c r="A837" s="20"/>
      <c r="B837" s="11"/>
      <c r="C837" s="22"/>
    </row>
    <row r="838" spans="1:3" ht="14.25" customHeight="1" x14ac:dyDescent="0.55000000000000004">
      <c r="A838" s="20"/>
      <c r="B838" s="11"/>
      <c r="C838" s="22"/>
    </row>
    <row r="839" spans="1:3" ht="14.25" customHeight="1" x14ac:dyDescent="0.55000000000000004">
      <c r="A839" s="20"/>
      <c r="B839" s="11"/>
      <c r="C839" s="22"/>
    </row>
    <row r="840" spans="1:3" ht="14.25" customHeight="1" x14ac:dyDescent="0.55000000000000004">
      <c r="A840" s="20"/>
      <c r="B840" s="11"/>
      <c r="C840" s="22"/>
    </row>
    <row r="841" spans="1:3" ht="14.25" customHeight="1" x14ac:dyDescent="0.55000000000000004">
      <c r="A841" s="20"/>
      <c r="B841" s="11"/>
      <c r="C841" s="22"/>
    </row>
    <row r="842" spans="1:3" ht="14.25" customHeight="1" x14ac:dyDescent="0.55000000000000004">
      <c r="A842" s="20"/>
      <c r="B842" s="11"/>
      <c r="C842" s="22"/>
    </row>
    <row r="843" spans="1:3" ht="14.25" customHeight="1" x14ac:dyDescent="0.55000000000000004">
      <c r="A843" s="20"/>
      <c r="B843" s="11"/>
      <c r="C843" s="22"/>
    </row>
    <row r="844" spans="1:3" ht="14.25" customHeight="1" x14ac:dyDescent="0.55000000000000004">
      <c r="A844" s="20"/>
      <c r="B844" s="11"/>
      <c r="C844" s="22"/>
    </row>
    <row r="845" spans="1:3" ht="14.25" customHeight="1" x14ac:dyDescent="0.55000000000000004">
      <c r="A845" s="20"/>
      <c r="B845" s="11"/>
      <c r="C845" s="22"/>
    </row>
    <row r="846" spans="1:3" ht="14.25" customHeight="1" x14ac:dyDescent="0.55000000000000004">
      <c r="A846" s="20"/>
      <c r="B846" s="11"/>
      <c r="C846" s="22"/>
    </row>
    <row r="847" spans="1:3" ht="14.25" customHeight="1" x14ac:dyDescent="0.55000000000000004">
      <c r="A847" s="20"/>
      <c r="B847" s="11"/>
      <c r="C847" s="22"/>
    </row>
    <row r="848" spans="1:3" ht="14.25" customHeight="1" x14ac:dyDescent="0.55000000000000004">
      <c r="A848" s="20"/>
      <c r="B848" s="11"/>
      <c r="C848" s="22"/>
    </row>
    <row r="849" spans="1:3" ht="14.25" customHeight="1" x14ac:dyDescent="0.55000000000000004">
      <c r="A849" s="20"/>
      <c r="B849" s="11"/>
      <c r="C849" s="22"/>
    </row>
    <row r="850" spans="1:3" ht="14.25" customHeight="1" x14ac:dyDescent="0.55000000000000004">
      <c r="A850" s="20"/>
      <c r="B850" s="11"/>
      <c r="C850" s="22"/>
    </row>
    <row r="851" spans="1:3" ht="14.25" customHeight="1" x14ac:dyDescent="0.55000000000000004">
      <c r="A851" s="20"/>
      <c r="B851" s="11"/>
      <c r="C851" s="22"/>
    </row>
    <row r="852" spans="1:3" ht="14.25" customHeight="1" x14ac:dyDescent="0.55000000000000004">
      <c r="A852" s="20"/>
      <c r="B852" s="11"/>
      <c r="C852" s="22"/>
    </row>
    <row r="853" spans="1:3" ht="14.25" customHeight="1" x14ac:dyDescent="0.55000000000000004">
      <c r="A853" s="20"/>
      <c r="B853" s="11"/>
      <c r="C853" s="22"/>
    </row>
    <row r="854" spans="1:3" ht="14.25" customHeight="1" x14ac:dyDescent="0.55000000000000004">
      <c r="A854" s="20"/>
      <c r="B854" s="11"/>
      <c r="C854" s="22"/>
    </row>
    <row r="855" spans="1:3" ht="14.25" customHeight="1" x14ac:dyDescent="0.55000000000000004">
      <c r="A855" s="20"/>
      <c r="B855" s="11"/>
      <c r="C855" s="22"/>
    </row>
    <row r="856" spans="1:3" ht="14.25" customHeight="1" x14ac:dyDescent="0.55000000000000004">
      <c r="A856" s="20"/>
      <c r="B856" s="11"/>
      <c r="C856" s="22"/>
    </row>
    <row r="857" spans="1:3" ht="14.25" customHeight="1" x14ac:dyDescent="0.55000000000000004">
      <c r="A857" s="20"/>
      <c r="B857" s="11"/>
      <c r="C857" s="22"/>
    </row>
    <row r="858" spans="1:3" ht="14.25" customHeight="1" x14ac:dyDescent="0.55000000000000004">
      <c r="A858" s="20"/>
      <c r="B858" s="11"/>
      <c r="C858" s="22"/>
    </row>
    <row r="859" spans="1:3" ht="14.25" customHeight="1" x14ac:dyDescent="0.55000000000000004">
      <c r="A859" s="20"/>
      <c r="B859" s="11"/>
      <c r="C859" s="22"/>
    </row>
    <row r="860" spans="1:3" ht="14.25" customHeight="1" x14ac:dyDescent="0.55000000000000004">
      <c r="A860" s="20"/>
      <c r="B860" s="11"/>
      <c r="C860" s="22"/>
    </row>
    <row r="861" spans="1:3" ht="14.25" customHeight="1" x14ac:dyDescent="0.55000000000000004">
      <c r="A861" s="20"/>
      <c r="B861" s="11"/>
      <c r="C861" s="22"/>
    </row>
    <row r="862" spans="1:3" ht="14.25" customHeight="1" x14ac:dyDescent="0.55000000000000004">
      <c r="A862" s="20"/>
      <c r="B862" s="11"/>
      <c r="C862" s="22"/>
    </row>
    <row r="863" spans="1:3" ht="14.25" customHeight="1" x14ac:dyDescent="0.55000000000000004">
      <c r="A863" s="20"/>
      <c r="B863" s="11"/>
      <c r="C863" s="22"/>
    </row>
    <row r="864" spans="1:3" ht="14.25" customHeight="1" x14ac:dyDescent="0.55000000000000004">
      <c r="A864" s="20"/>
      <c r="B864" s="11"/>
      <c r="C864" s="22"/>
    </row>
    <row r="865" spans="1:3" ht="14.25" customHeight="1" x14ac:dyDescent="0.55000000000000004">
      <c r="A865" s="20"/>
      <c r="B865" s="11"/>
      <c r="C865" s="22"/>
    </row>
    <row r="866" spans="1:3" ht="14.25" customHeight="1" x14ac:dyDescent="0.55000000000000004">
      <c r="A866" s="20"/>
      <c r="B866" s="11"/>
      <c r="C866" s="22"/>
    </row>
    <row r="867" spans="1:3" ht="14.25" customHeight="1" x14ac:dyDescent="0.55000000000000004">
      <c r="A867" s="20"/>
      <c r="B867" s="11"/>
      <c r="C867" s="22"/>
    </row>
    <row r="868" spans="1:3" ht="14.25" customHeight="1" x14ac:dyDescent="0.55000000000000004">
      <c r="A868" s="20"/>
      <c r="B868" s="11"/>
      <c r="C868" s="22"/>
    </row>
    <row r="869" spans="1:3" ht="14.25" customHeight="1" x14ac:dyDescent="0.55000000000000004">
      <c r="A869" s="20"/>
      <c r="B869" s="11"/>
      <c r="C869" s="22"/>
    </row>
    <row r="870" spans="1:3" ht="14.25" customHeight="1" x14ac:dyDescent="0.55000000000000004">
      <c r="A870" s="20"/>
      <c r="B870" s="11"/>
      <c r="C870" s="22"/>
    </row>
    <row r="871" spans="1:3" ht="14.25" customHeight="1" x14ac:dyDescent="0.55000000000000004">
      <c r="A871" s="20"/>
      <c r="B871" s="11"/>
      <c r="C871" s="22"/>
    </row>
    <row r="872" spans="1:3" ht="14.25" customHeight="1" x14ac:dyDescent="0.55000000000000004">
      <c r="A872" s="20"/>
      <c r="B872" s="11"/>
      <c r="C872" s="22"/>
    </row>
    <row r="873" spans="1:3" ht="14.25" customHeight="1" x14ac:dyDescent="0.55000000000000004">
      <c r="A873" s="20"/>
      <c r="B873" s="11"/>
      <c r="C873" s="22"/>
    </row>
    <row r="874" spans="1:3" ht="14.25" customHeight="1" x14ac:dyDescent="0.55000000000000004">
      <c r="A874" s="20"/>
      <c r="B874" s="11"/>
      <c r="C874" s="22"/>
    </row>
    <row r="875" spans="1:3" ht="14.25" customHeight="1" x14ac:dyDescent="0.55000000000000004">
      <c r="A875" s="20"/>
      <c r="B875" s="11"/>
      <c r="C875" s="22"/>
    </row>
    <row r="876" spans="1:3" ht="14.25" customHeight="1" x14ac:dyDescent="0.55000000000000004">
      <c r="A876" s="20"/>
      <c r="B876" s="11"/>
      <c r="C876" s="22"/>
    </row>
    <row r="877" spans="1:3" ht="14.25" customHeight="1" x14ac:dyDescent="0.55000000000000004">
      <c r="A877" s="20"/>
      <c r="B877" s="11"/>
      <c r="C877" s="22"/>
    </row>
    <row r="878" spans="1:3" ht="14.25" customHeight="1" x14ac:dyDescent="0.55000000000000004">
      <c r="A878" s="20"/>
      <c r="B878" s="11"/>
      <c r="C878" s="22"/>
    </row>
    <row r="879" spans="1:3" ht="14.25" customHeight="1" x14ac:dyDescent="0.55000000000000004">
      <c r="A879" s="20"/>
      <c r="B879" s="11"/>
      <c r="C879" s="22"/>
    </row>
    <row r="880" spans="1:3" ht="14.25" customHeight="1" x14ac:dyDescent="0.55000000000000004">
      <c r="A880" s="20"/>
      <c r="B880" s="11"/>
      <c r="C880" s="22"/>
    </row>
    <row r="881" spans="1:3" ht="14.25" customHeight="1" x14ac:dyDescent="0.55000000000000004">
      <c r="A881" s="20"/>
      <c r="B881" s="11"/>
      <c r="C881" s="22"/>
    </row>
    <row r="882" spans="1:3" ht="14.25" customHeight="1" x14ac:dyDescent="0.55000000000000004">
      <c r="A882" s="20"/>
      <c r="B882" s="11"/>
      <c r="C882" s="22"/>
    </row>
    <row r="883" spans="1:3" ht="14.25" customHeight="1" x14ac:dyDescent="0.55000000000000004">
      <c r="A883" s="20"/>
      <c r="B883" s="11"/>
      <c r="C883" s="22"/>
    </row>
    <row r="884" spans="1:3" ht="14.25" customHeight="1" x14ac:dyDescent="0.55000000000000004">
      <c r="A884" s="20"/>
      <c r="B884" s="11"/>
      <c r="C884" s="22"/>
    </row>
    <row r="885" spans="1:3" ht="14.25" customHeight="1" x14ac:dyDescent="0.55000000000000004">
      <c r="A885" s="20"/>
      <c r="B885" s="11"/>
      <c r="C885" s="22"/>
    </row>
    <row r="886" spans="1:3" ht="14.25" customHeight="1" x14ac:dyDescent="0.55000000000000004">
      <c r="A886" s="20"/>
      <c r="B886" s="11"/>
      <c r="C886" s="22"/>
    </row>
    <row r="887" spans="1:3" ht="14.25" customHeight="1" x14ac:dyDescent="0.55000000000000004">
      <c r="A887" s="20"/>
      <c r="B887" s="11"/>
      <c r="C887" s="22"/>
    </row>
    <row r="888" spans="1:3" ht="14.25" customHeight="1" x14ac:dyDescent="0.55000000000000004">
      <c r="A888" s="20"/>
      <c r="B888" s="11"/>
      <c r="C888" s="22"/>
    </row>
    <row r="889" spans="1:3" ht="14.25" customHeight="1" x14ac:dyDescent="0.55000000000000004">
      <c r="A889" s="20"/>
      <c r="B889" s="11"/>
      <c r="C889" s="22"/>
    </row>
    <row r="890" spans="1:3" ht="14.25" customHeight="1" x14ac:dyDescent="0.55000000000000004">
      <c r="A890" s="20"/>
      <c r="B890" s="11"/>
      <c r="C890" s="22"/>
    </row>
    <row r="891" spans="1:3" ht="14.25" customHeight="1" x14ac:dyDescent="0.55000000000000004">
      <c r="A891" s="20"/>
      <c r="B891" s="11"/>
      <c r="C891" s="22"/>
    </row>
    <row r="892" spans="1:3" ht="14.25" customHeight="1" x14ac:dyDescent="0.55000000000000004">
      <c r="A892" s="20"/>
      <c r="B892" s="11"/>
      <c r="C892" s="22"/>
    </row>
    <row r="893" spans="1:3" ht="14.25" customHeight="1" x14ac:dyDescent="0.55000000000000004">
      <c r="A893" s="20"/>
      <c r="B893" s="11"/>
      <c r="C893" s="22"/>
    </row>
    <row r="894" spans="1:3" ht="14.25" customHeight="1" x14ac:dyDescent="0.55000000000000004">
      <c r="A894" s="20"/>
      <c r="B894" s="11"/>
      <c r="C894" s="22"/>
    </row>
    <row r="895" spans="1:3" ht="14.25" customHeight="1" x14ac:dyDescent="0.55000000000000004">
      <c r="A895" s="20"/>
      <c r="B895" s="11"/>
      <c r="C895" s="22"/>
    </row>
    <row r="896" spans="1:3" ht="14.25" customHeight="1" x14ac:dyDescent="0.55000000000000004">
      <c r="A896" s="20"/>
      <c r="B896" s="11"/>
      <c r="C896" s="22"/>
    </row>
    <row r="897" spans="1:3" ht="14.25" customHeight="1" x14ac:dyDescent="0.55000000000000004">
      <c r="A897" s="20"/>
      <c r="B897" s="11"/>
      <c r="C897" s="22"/>
    </row>
    <row r="898" spans="1:3" ht="14.25" customHeight="1" x14ac:dyDescent="0.55000000000000004">
      <c r="A898" s="20"/>
      <c r="B898" s="11"/>
      <c r="C898" s="22"/>
    </row>
    <row r="899" spans="1:3" ht="14.25" customHeight="1" x14ac:dyDescent="0.55000000000000004">
      <c r="A899" s="20"/>
      <c r="B899" s="11"/>
      <c r="C899" s="22"/>
    </row>
    <row r="900" spans="1:3" ht="14.25" customHeight="1" x14ac:dyDescent="0.55000000000000004">
      <c r="A900" s="20"/>
      <c r="B900" s="11"/>
      <c r="C900" s="22"/>
    </row>
    <row r="901" spans="1:3" ht="14.25" customHeight="1" x14ac:dyDescent="0.55000000000000004">
      <c r="A901" s="20"/>
      <c r="B901" s="11"/>
      <c r="C901" s="22"/>
    </row>
    <row r="902" spans="1:3" ht="14.25" customHeight="1" x14ac:dyDescent="0.55000000000000004">
      <c r="A902" s="20"/>
      <c r="B902" s="11"/>
      <c r="C902" s="22"/>
    </row>
    <row r="903" spans="1:3" ht="14.25" customHeight="1" x14ac:dyDescent="0.55000000000000004">
      <c r="A903" s="20"/>
      <c r="B903" s="11"/>
      <c r="C903" s="22"/>
    </row>
    <row r="904" spans="1:3" ht="14.25" customHeight="1" x14ac:dyDescent="0.55000000000000004">
      <c r="A904" s="20"/>
      <c r="B904" s="11"/>
      <c r="C904" s="22"/>
    </row>
    <row r="905" spans="1:3" ht="14.25" customHeight="1" x14ac:dyDescent="0.55000000000000004">
      <c r="A905" s="20"/>
      <c r="B905" s="11"/>
      <c r="C905" s="22"/>
    </row>
    <row r="906" spans="1:3" ht="14.25" customHeight="1" x14ac:dyDescent="0.55000000000000004">
      <c r="A906" s="20"/>
      <c r="B906" s="11"/>
      <c r="C906" s="22"/>
    </row>
    <row r="907" spans="1:3" ht="14.25" customHeight="1" x14ac:dyDescent="0.55000000000000004">
      <c r="A907" s="20"/>
      <c r="B907" s="11"/>
      <c r="C907" s="22"/>
    </row>
    <row r="908" spans="1:3" ht="14.25" customHeight="1" x14ac:dyDescent="0.55000000000000004">
      <c r="A908" s="20"/>
      <c r="B908" s="11"/>
      <c r="C908" s="22"/>
    </row>
    <row r="909" spans="1:3" ht="14.25" customHeight="1" x14ac:dyDescent="0.55000000000000004">
      <c r="A909" s="20"/>
      <c r="B909" s="11"/>
      <c r="C909" s="22"/>
    </row>
    <row r="910" spans="1:3" ht="14.25" customHeight="1" x14ac:dyDescent="0.55000000000000004">
      <c r="A910" s="20"/>
      <c r="B910" s="11"/>
      <c r="C910" s="22"/>
    </row>
    <row r="911" spans="1:3" ht="14.25" customHeight="1" x14ac:dyDescent="0.55000000000000004">
      <c r="A911" s="20"/>
      <c r="B911" s="11"/>
      <c r="C911" s="22"/>
    </row>
    <row r="912" spans="1:3" ht="14.25" customHeight="1" x14ac:dyDescent="0.55000000000000004">
      <c r="A912" s="20"/>
      <c r="B912" s="11"/>
      <c r="C912" s="22"/>
    </row>
    <row r="913" spans="1:3" ht="14.25" customHeight="1" x14ac:dyDescent="0.55000000000000004">
      <c r="A913" s="20"/>
      <c r="B913" s="11"/>
      <c r="C913" s="22"/>
    </row>
    <row r="914" spans="1:3" ht="14.25" customHeight="1" x14ac:dyDescent="0.55000000000000004">
      <c r="A914" s="20"/>
      <c r="B914" s="11"/>
      <c r="C914" s="22"/>
    </row>
    <row r="915" spans="1:3" ht="14.25" customHeight="1" x14ac:dyDescent="0.55000000000000004">
      <c r="A915" s="20"/>
      <c r="B915" s="11"/>
      <c r="C915" s="22"/>
    </row>
    <row r="916" spans="1:3" ht="14.25" customHeight="1" x14ac:dyDescent="0.55000000000000004">
      <c r="A916" s="20"/>
      <c r="B916" s="11"/>
      <c r="C916" s="22"/>
    </row>
    <row r="917" spans="1:3" ht="14.25" customHeight="1" x14ac:dyDescent="0.55000000000000004">
      <c r="A917" s="20"/>
      <c r="B917" s="11"/>
      <c r="C917" s="22"/>
    </row>
    <row r="918" spans="1:3" ht="14.25" customHeight="1" x14ac:dyDescent="0.55000000000000004">
      <c r="A918" s="20"/>
      <c r="B918" s="11"/>
      <c r="C918" s="22"/>
    </row>
    <row r="919" spans="1:3" ht="14.25" customHeight="1" x14ac:dyDescent="0.55000000000000004">
      <c r="A919" s="20"/>
      <c r="B919" s="11"/>
      <c r="C919" s="22"/>
    </row>
    <row r="920" spans="1:3" ht="14.25" customHeight="1" x14ac:dyDescent="0.55000000000000004">
      <c r="A920" s="20"/>
      <c r="B920" s="11"/>
      <c r="C920" s="22"/>
    </row>
    <row r="921" spans="1:3" ht="14.25" customHeight="1" x14ac:dyDescent="0.55000000000000004">
      <c r="A921" s="20"/>
      <c r="B921" s="11"/>
      <c r="C921" s="22"/>
    </row>
    <row r="922" spans="1:3" ht="14.25" customHeight="1" x14ac:dyDescent="0.55000000000000004">
      <c r="A922" s="20"/>
      <c r="B922" s="11"/>
      <c r="C922" s="22"/>
    </row>
    <row r="923" spans="1:3" ht="14.25" customHeight="1" x14ac:dyDescent="0.55000000000000004">
      <c r="A923" s="20"/>
      <c r="B923" s="11"/>
      <c r="C923" s="22"/>
    </row>
    <row r="924" spans="1:3" ht="14.25" customHeight="1" x14ac:dyDescent="0.55000000000000004">
      <c r="A924" s="20"/>
      <c r="B924" s="11"/>
      <c r="C924" s="22"/>
    </row>
    <row r="925" spans="1:3" ht="14.25" customHeight="1" x14ac:dyDescent="0.55000000000000004">
      <c r="A925" s="20"/>
      <c r="B925" s="11"/>
      <c r="C925" s="22"/>
    </row>
    <row r="926" spans="1:3" ht="14.25" customHeight="1" x14ac:dyDescent="0.55000000000000004">
      <c r="A926" s="20"/>
      <c r="B926" s="11"/>
      <c r="C926" s="22"/>
    </row>
    <row r="927" spans="1:3" ht="14.25" customHeight="1" x14ac:dyDescent="0.55000000000000004">
      <c r="A927" s="20"/>
      <c r="B927" s="11"/>
      <c r="C927" s="22"/>
    </row>
    <row r="928" spans="1:3" ht="14.25" customHeight="1" x14ac:dyDescent="0.55000000000000004">
      <c r="A928" s="20"/>
      <c r="B928" s="11"/>
      <c r="C928" s="22"/>
    </row>
    <row r="929" spans="1:3" ht="14.25" customHeight="1" x14ac:dyDescent="0.55000000000000004">
      <c r="A929" s="20"/>
      <c r="B929" s="11"/>
      <c r="C929" s="22"/>
    </row>
    <row r="930" spans="1:3" ht="14.25" customHeight="1" x14ac:dyDescent="0.55000000000000004">
      <c r="A930" s="20"/>
      <c r="B930" s="11"/>
      <c r="C930" s="22"/>
    </row>
    <row r="931" spans="1:3" ht="14.25" customHeight="1" x14ac:dyDescent="0.55000000000000004">
      <c r="A931" s="20"/>
      <c r="B931" s="11"/>
      <c r="C931" s="22"/>
    </row>
    <row r="932" spans="1:3" ht="14.25" customHeight="1" x14ac:dyDescent="0.55000000000000004">
      <c r="A932" s="20"/>
      <c r="B932" s="11"/>
      <c r="C932" s="22"/>
    </row>
    <row r="933" spans="1:3" ht="14.25" customHeight="1" x14ac:dyDescent="0.55000000000000004">
      <c r="A933" s="20"/>
      <c r="B933" s="11"/>
      <c r="C933" s="22"/>
    </row>
    <row r="934" spans="1:3" ht="14.25" customHeight="1" x14ac:dyDescent="0.55000000000000004">
      <c r="A934" s="20"/>
      <c r="B934" s="11"/>
      <c r="C934" s="22"/>
    </row>
    <row r="935" spans="1:3" ht="14.25" customHeight="1" x14ac:dyDescent="0.55000000000000004">
      <c r="A935" s="20"/>
      <c r="B935" s="11"/>
      <c r="C935" s="22"/>
    </row>
    <row r="936" spans="1:3" ht="14.25" customHeight="1" x14ac:dyDescent="0.55000000000000004">
      <c r="A936" s="20"/>
      <c r="B936" s="11"/>
      <c r="C936" s="22"/>
    </row>
    <row r="937" spans="1:3" ht="14.25" customHeight="1" x14ac:dyDescent="0.55000000000000004">
      <c r="A937" s="20"/>
      <c r="B937" s="11"/>
      <c r="C937" s="22"/>
    </row>
    <row r="938" spans="1:3" ht="14.25" customHeight="1" x14ac:dyDescent="0.55000000000000004">
      <c r="A938" s="20"/>
      <c r="B938" s="11"/>
      <c r="C938" s="22"/>
    </row>
    <row r="939" spans="1:3" ht="14.25" customHeight="1" x14ac:dyDescent="0.55000000000000004">
      <c r="A939" s="20"/>
      <c r="B939" s="11"/>
      <c r="C939" s="22"/>
    </row>
    <row r="940" spans="1:3" ht="14.25" customHeight="1" x14ac:dyDescent="0.55000000000000004">
      <c r="A940" s="20"/>
      <c r="B940" s="11"/>
      <c r="C940" s="22"/>
    </row>
    <row r="941" spans="1:3" ht="14.25" customHeight="1" x14ac:dyDescent="0.55000000000000004">
      <c r="A941" s="20"/>
      <c r="B941" s="11"/>
      <c r="C941" s="22"/>
    </row>
    <row r="942" spans="1:3" ht="14.25" customHeight="1" x14ac:dyDescent="0.55000000000000004">
      <c r="A942" s="20"/>
      <c r="B942" s="11"/>
      <c r="C942" s="22"/>
    </row>
    <row r="943" spans="1:3" ht="14.25" customHeight="1" x14ac:dyDescent="0.55000000000000004">
      <c r="A943" s="20"/>
      <c r="B943" s="11"/>
      <c r="C943" s="22"/>
    </row>
    <row r="944" spans="1:3" ht="14.25" customHeight="1" x14ac:dyDescent="0.55000000000000004">
      <c r="A944" s="20"/>
      <c r="B944" s="11"/>
      <c r="C944" s="22"/>
    </row>
    <row r="945" spans="1:3" ht="14.25" customHeight="1" x14ac:dyDescent="0.55000000000000004">
      <c r="A945" s="20"/>
      <c r="B945" s="11"/>
      <c r="C945" s="22"/>
    </row>
    <row r="946" spans="1:3" ht="14.25" customHeight="1" x14ac:dyDescent="0.55000000000000004">
      <c r="A946" s="20"/>
      <c r="B946" s="11"/>
      <c r="C946" s="22"/>
    </row>
    <row r="947" spans="1:3" ht="14.25" customHeight="1" x14ac:dyDescent="0.55000000000000004">
      <c r="A947" s="20"/>
      <c r="B947" s="11"/>
      <c r="C947" s="22"/>
    </row>
    <row r="948" spans="1:3" ht="14.25" customHeight="1" x14ac:dyDescent="0.55000000000000004">
      <c r="A948" s="20"/>
      <c r="B948" s="11"/>
      <c r="C948" s="22"/>
    </row>
    <row r="949" spans="1:3" ht="14.25" customHeight="1" x14ac:dyDescent="0.55000000000000004">
      <c r="A949" s="20"/>
      <c r="B949" s="11"/>
      <c r="C949" s="22"/>
    </row>
    <row r="950" spans="1:3" ht="14.25" customHeight="1" x14ac:dyDescent="0.55000000000000004">
      <c r="A950" s="20"/>
      <c r="B950" s="11"/>
      <c r="C950" s="22"/>
    </row>
    <row r="951" spans="1:3" ht="14.25" customHeight="1" x14ac:dyDescent="0.55000000000000004">
      <c r="A951" s="20"/>
      <c r="B951" s="11"/>
      <c r="C951" s="22"/>
    </row>
    <row r="952" spans="1:3" ht="14.25" customHeight="1" x14ac:dyDescent="0.55000000000000004">
      <c r="A952" s="20"/>
      <c r="B952" s="11"/>
      <c r="C952" s="22"/>
    </row>
    <row r="953" spans="1:3" ht="14.25" customHeight="1" x14ac:dyDescent="0.55000000000000004">
      <c r="A953" s="20"/>
      <c r="B953" s="11"/>
      <c r="C953" s="22"/>
    </row>
    <row r="954" spans="1:3" ht="14.25" customHeight="1" x14ac:dyDescent="0.55000000000000004">
      <c r="A954" s="20"/>
      <c r="B954" s="11"/>
      <c r="C954" s="22"/>
    </row>
    <row r="955" spans="1:3" ht="14.25" customHeight="1" x14ac:dyDescent="0.55000000000000004">
      <c r="A955" s="20"/>
      <c r="B955" s="11"/>
      <c r="C955" s="22"/>
    </row>
    <row r="956" spans="1:3" ht="14.25" customHeight="1" x14ac:dyDescent="0.55000000000000004">
      <c r="A956" s="20"/>
      <c r="B956" s="11"/>
      <c r="C956" s="22"/>
    </row>
    <row r="957" spans="1:3" ht="14.25" customHeight="1" x14ac:dyDescent="0.55000000000000004">
      <c r="A957" s="20"/>
      <c r="B957" s="11"/>
      <c r="C957" s="22"/>
    </row>
    <row r="958" spans="1:3" ht="14.25" customHeight="1" x14ac:dyDescent="0.55000000000000004">
      <c r="A958" s="20"/>
      <c r="B958" s="11"/>
      <c r="C958" s="22"/>
    </row>
    <row r="959" spans="1:3" ht="14.25" customHeight="1" x14ac:dyDescent="0.55000000000000004">
      <c r="A959" s="20"/>
      <c r="B959" s="11"/>
      <c r="C959" s="22"/>
    </row>
    <row r="960" spans="1:3" ht="14.25" customHeight="1" x14ac:dyDescent="0.55000000000000004">
      <c r="A960" s="20"/>
      <c r="B960" s="11"/>
      <c r="C960" s="22"/>
    </row>
    <row r="961" spans="1:3" ht="14.25" customHeight="1" x14ac:dyDescent="0.55000000000000004">
      <c r="A961" s="20"/>
      <c r="B961" s="11"/>
      <c r="C961" s="22"/>
    </row>
    <row r="962" spans="1:3" ht="14.25" customHeight="1" x14ac:dyDescent="0.55000000000000004">
      <c r="A962" s="20"/>
      <c r="B962" s="11"/>
      <c r="C962" s="22"/>
    </row>
    <row r="963" spans="1:3" ht="14.25" customHeight="1" x14ac:dyDescent="0.55000000000000004">
      <c r="A963" s="20"/>
      <c r="B963" s="11"/>
      <c r="C963" s="22"/>
    </row>
    <row r="964" spans="1:3" ht="14.25" customHeight="1" x14ac:dyDescent="0.55000000000000004">
      <c r="A964" s="20"/>
      <c r="B964" s="11"/>
      <c r="C964" s="22"/>
    </row>
    <row r="965" spans="1:3" ht="14.25" customHeight="1" x14ac:dyDescent="0.55000000000000004">
      <c r="A965" s="20"/>
      <c r="B965" s="11"/>
      <c r="C965" s="22"/>
    </row>
    <row r="966" spans="1:3" ht="14.25" customHeight="1" x14ac:dyDescent="0.55000000000000004">
      <c r="A966" s="20"/>
      <c r="B966" s="11"/>
      <c r="C966" s="22"/>
    </row>
    <row r="967" spans="1:3" ht="14.25" customHeight="1" x14ac:dyDescent="0.55000000000000004">
      <c r="A967" s="20"/>
      <c r="B967" s="11"/>
      <c r="C967" s="22"/>
    </row>
    <row r="968" spans="1:3" ht="14.25" customHeight="1" x14ac:dyDescent="0.55000000000000004">
      <c r="A968" s="20"/>
      <c r="B968" s="11"/>
      <c r="C968" s="22"/>
    </row>
    <row r="969" spans="1:3" ht="14.25" customHeight="1" x14ac:dyDescent="0.55000000000000004">
      <c r="A969" s="20"/>
      <c r="B969" s="11"/>
      <c r="C969" s="22"/>
    </row>
    <row r="970" spans="1:3" ht="14.25" customHeight="1" x14ac:dyDescent="0.55000000000000004">
      <c r="A970" s="20"/>
      <c r="B970" s="11"/>
      <c r="C970" s="22"/>
    </row>
    <row r="971" spans="1:3" ht="14.25" customHeight="1" x14ac:dyDescent="0.55000000000000004">
      <c r="A971" s="20"/>
      <c r="B971" s="11"/>
      <c r="C971" s="22"/>
    </row>
    <row r="972" spans="1:3" ht="14.25" customHeight="1" x14ac:dyDescent="0.55000000000000004">
      <c r="A972" s="20"/>
      <c r="B972" s="11"/>
      <c r="C972" s="22"/>
    </row>
    <row r="973" spans="1:3" ht="14.25" customHeight="1" x14ac:dyDescent="0.55000000000000004">
      <c r="A973" s="20"/>
      <c r="B973" s="11"/>
      <c r="C973" s="22"/>
    </row>
    <row r="974" spans="1:3" ht="14.25" customHeight="1" x14ac:dyDescent="0.55000000000000004">
      <c r="A974" s="20"/>
      <c r="B974" s="11"/>
      <c r="C974" s="22"/>
    </row>
    <row r="975" spans="1:3" ht="14.25" customHeight="1" x14ac:dyDescent="0.55000000000000004">
      <c r="A975" s="20"/>
      <c r="B975" s="11"/>
      <c r="C975" s="22"/>
    </row>
    <row r="976" spans="1:3" ht="14.25" customHeight="1" x14ac:dyDescent="0.55000000000000004">
      <c r="A976" s="20"/>
      <c r="B976" s="11"/>
      <c r="C976" s="22"/>
    </row>
    <row r="977" spans="1:3" ht="14.25" customHeight="1" x14ac:dyDescent="0.55000000000000004">
      <c r="A977" s="20"/>
      <c r="B977" s="11"/>
      <c r="C977" s="22"/>
    </row>
    <row r="978" spans="1:3" ht="14.25" customHeight="1" x14ac:dyDescent="0.55000000000000004">
      <c r="A978" s="20"/>
      <c r="B978" s="11"/>
      <c r="C978" s="22"/>
    </row>
    <row r="979" spans="1:3" ht="14.25" customHeight="1" x14ac:dyDescent="0.55000000000000004">
      <c r="A979" s="20"/>
      <c r="B979" s="11"/>
      <c r="C979" s="22"/>
    </row>
    <row r="980" spans="1:3" ht="14.25" customHeight="1" x14ac:dyDescent="0.55000000000000004">
      <c r="A980" s="20"/>
      <c r="B980" s="11"/>
      <c r="C980" s="22"/>
    </row>
    <row r="981" spans="1:3" ht="14.25" customHeight="1" x14ac:dyDescent="0.55000000000000004">
      <c r="A981" s="20"/>
      <c r="B981" s="11"/>
      <c r="C981" s="22"/>
    </row>
    <row r="982" spans="1:3" ht="14.25" customHeight="1" x14ac:dyDescent="0.55000000000000004">
      <c r="A982" s="20"/>
      <c r="B982" s="11"/>
      <c r="C982" s="22"/>
    </row>
    <row r="983" spans="1:3" ht="14.25" customHeight="1" x14ac:dyDescent="0.55000000000000004">
      <c r="A983" s="20"/>
      <c r="B983" s="11"/>
      <c r="C983" s="22"/>
    </row>
    <row r="984" spans="1:3" ht="14.25" customHeight="1" x14ac:dyDescent="0.55000000000000004">
      <c r="A984" s="20"/>
      <c r="B984" s="11"/>
      <c r="C984" s="22"/>
    </row>
    <row r="985" spans="1:3" ht="14.25" customHeight="1" x14ac:dyDescent="0.55000000000000004">
      <c r="A985" s="20"/>
      <c r="B985" s="11"/>
      <c r="C985" s="22"/>
    </row>
    <row r="986" spans="1:3" ht="14.25" customHeight="1" x14ac:dyDescent="0.55000000000000004">
      <c r="A986" s="20"/>
      <c r="B986" s="11"/>
      <c r="C986" s="22"/>
    </row>
    <row r="987" spans="1:3" ht="14.25" customHeight="1" x14ac:dyDescent="0.55000000000000004">
      <c r="A987" s="20"/>
      <c r="B987" s="11"/>
      <c r="C987" s="22"/>
    </row>
    <row r="988" spans="1:3" ht="14.25" customHeight="1" x14ac:dyDescent="0.55000000000000004">
      <c r="A988" s="20"/>
      <c r="B988" s="11"/>
      <c r="C988" s="22"/>
    </row>
    <row r="989" spans="1:3" ht="14.25" customHeight="1" x14ac:dyDescent="0.55000000000000004">
      <c r="A989" s="20"/>
      <c r="B989" s="11"/>
      <c r="C989" s="22"/>
    </row>
    <row r="990" spans="1:3" ht="14.25" customHeight="1" x14ac:dyDescent="0.55000000000000004">
      <c r="A990" s="20"/>
      <c r="B990" s="11"/>
      <c r="C990" s="22"/>
    </row>
    <row r="991" spans="1:3" ht="14.25" customHeight="1" x14ac:dyDescent="0.55000000000000004">
      <c r="A991" s="20"/>
      <c r="B991" s="11"/>
      <c r="C991" s="22"/>
    </row>
    <row r="992" spans="1:3" ht="14.25" customHeight="1" x14ac:dyDescent="0.55000000000000004">
      <c r="A992" s="20"/>
      <c r="B992" s="11"/>
      <c r="C992" s="22"/>
    </row>
    <row r="993" spans="1:3" ht="14.25" customHeight="1" x14ac:dyDescent="0.55000000000000004">
      <c r="A993" s="20"/>
      <c r="B993" s="11"/>
      <c r="C993" s="22"/>
    </row>
    <row r="994" spans="1:3" ht="14.25" customHeight="1" x14ac:dyDescent="0.55000000000000004">
      <c r="A994" s="20"/>
      <c r="B994" s="11"/>
      <c r="C994" s="22"/>
    </row>
    <row r="995" spans="1:3" ht="14.25" customHeight="1" x14ac:dyDescent="0.55000000000000004">
      <c r="A995" s="20"/>
      <c r="B995" s="11"/>
      <c r="C995" s="22"/>
    </row>
    <row r="996" spans="1:3" ht="14.25" customHeight="1" x14ac:dyDescent="0.55000000000000004">
      <c r="A996" s="20"/>
      <c r="B996" s="11"/>
      <c r="C996" s="22"/>
    </row>
    <row r="997" spans="1:3" ht="14.25" customHeight="1" x14ac:dyDescent="0.55000000000000004">
      <c r="A997" s="20"/>
      <c r="B997" s="11"/>
      <c r="C997" s="22"/>
    </row>
    <row r="998" spans="1:3" ht="14.25" customHeight="1" x14ac:dyDescent="0.55000000000000004">
      <c r="A998" s="20"/>
      <c r="B998" s="11"/>
      <c r="C998" s="22"/>
    </row>
    <row r="999" spans="1:3" ht="14.25" customHeight="1" x14ac:dyDescent="0.55000000000000004">
      <c r="A999" s="20"/>
      <c r="B999" s="11"/>
      <c r="C999" s="22"/>
    </row>
    <row r="1000" spans="1:3" ht="14.25" customHeight="1" x14ac:dyDescent="0.55000000000000004">
      <c r="A1000" s="20"/>
      <c r="B1000" s="11"/>
      <c r="C1000" s="22"/>
    </row>
    <row r="1001" spans="1:3" ht="14.25" customHeight="1" x14ac:dyDescent="0.55000000000000004">
      <c r="A1001" s="20"/>
      <c r="B1001" s="11"/>
      <c r="C1001" s="22"/>
    </row>
    <row r="1002" spans="1:3" ht="14.25" customHeight="1" x14ac:dyDescent="0.55000000000000004">
      <c r="A1002" s="20"/>
      <c r="B1002" s="11"/>
      <c r="C1002" s="22"/>
    </row>
    <row r="1003" spans="1:3" ht="14.25" customHeight="1" x14ac:dyDescent="0.55000000000000004">
      <c r="A1003" s="20"/>
      <c r="B1003" s="11"/>
      <c r="C1003" s="22"/>
    </row>
    <row r="1004" spans="1:3" ht="14.25" customHeight="1" x14ac:dyDescent="0.55000000000000004">
      <c r="A1004" s="20"/>
      <c r="B1004" s="11"/>
      <c r="C1004" s="22"/>
    </row>
    <row r="1005" spans="1:3" ht="14.25" customHeight="1" x14ac:dyDescent="0.55000000000000004">
      <c r="A1005" s="20"/>
      <c r="B1005" s="11"/>
      <c r="C1005" s="22"/>
    </row>
    <row r="1006" spans="1:3" ht="14.25" customHeight="1" x14ac:dyDescent="0.55000000000000004">
      <c r="A1006" s="20"/>
      <c r="B1006" s="11"/>
      <c r="C1006" s="22"/>
    </row>
    <row r="1007" spans="1:3" ht="14.25" customHeight="1" x14ac:dyDescent="0.55000000000000004">
      <c r="A1007" s="20"/>
      <c r="B1007" s="11"/>
      <c r="C1007" s="22"/>
    </row>
    <row r="1008" spans="1:3" ht="14.25" customHeight="1" x14ac:dyDescent="0.55000000000000004">
      <c r="A1008" s="20"/>
      <c r="B1008" s="11"/>
      <c r="C1008" s="22"/>
    </row>
    <row r="1009" spans="1:3" ht="14.25" customHeight="1" x14ac:dyDescent="0.55000000000000004">
      <c r="A1009" s="20"/>
      <c r="B1009" s="11"/>
      <c r="C1009" s="22"/>
    </row>
    <row r="1010" spans="1:3" ht="14.25" customHeight="1" x14ac:dyDescent="0.55000000000000004">
      <c r="A1010" s="20"/>
      <c r="B1010" s="11"/>
      <c r="C1010" s="22"/>
    </row>
    <row r="1011" spans="1:3" ht="14.25" customHeight="1" x14ac:dyDescent="0.55000000000000004">
      <c r="A1011" s="20"/>
      <c r="B1011" s="11"/>
      <c r="C1011" s="22"/>
    </row>
    <row r="1012" spans="1:3" ht="14.25" customHeight="1" x14ac:dyDescent="0.55000000000000004">
      <c r="A1012" s="20"/>
      <c r="B1012" s="11"/>
      <c r="C1012" s="22"/>
    </row>
    <row r="1013" spans="1:3" ht="14.25" customHeight="1" x14ac:dyDescent="0.55000000000000004">
      <c r="A1013" s="20"/>
      <c r="B1013" s="11"/>
      <c r="C1013" s="22"/>
    </row>
    <row r="1014" spans="1:3" ht="14.25" customHeight="1" x14ac:dyDescent="0.55000000000000004">
      <c r="A1014" s="20"/>
      <c r="B1014" s="11"/>
      <c r="C1014" s="22"/>
    </row>
    <row r="1015" spans="1:3" ht="14.25" customHeight="1" x14ac:dyDescent="0.55000000000000004">
      <c r="A1015" s="20"/>
      <c r="B1015" s="11"/>
      <c r="C1015" s="22"/>
    </row>
    <row r="1016" spans="1:3" ht="14.25" customHeight="1" x14ac:dyDescent="0.55000000000000004">
      <c r="A1016" s="20"/>
      <c r="B1016" s="11"/>
      <c r="C1016" s="22"/>
    </row>
    <row r="1017" spans="1:3" ht="14.25" customHeight="1" x14ac:dyDescent="0.55000000000000004">
      <c r="A1017" s="20"/>
      <c r="B1017" s="11"/>
      <c r="C1017" s="22"/>
    </row>
    <row r="1018" spans="1:3" ht="14.25" customHeight="1" x14ac:dyDescent="0.55000000000000004">
      <c r="A1018" s="20"/>
      <c r="B1018" s="11"/>
      <c r="C1018" s="22"/>
    </row>
    <row r="1019" spans="1:3" ht="14.25" customHeight="1" x14ac:dyDescent="0.55000000000000004">
      <c r="A1019" s="20"/>
      <c r="B1019" s="11"/>
      <c r="C1019" s="22"/>
    </row>
    <row r="1020" spans="1:3" ht="14.25" customHeight="1" x14ac:dyDescent="0.55000000000000004">
      <c r="A1020" s="20"/>
      <c r="B1020" s="11"/>
      <c r="C1020" s="22"/>
    </row>
    <row r="1021" spans="1:3" ht="14.25" customHeight="1" x14ac:dyDescent="0.55000000000000004">
      <c r="A1021" s="20"/>
      <c r="B1021" s="11"/>
      <c r="C1021" s="22"/>
    </row>
    <row r="1022" spans="1:3" ht="14.25" customHeight="1" x14ac:dyDescent="0.55000000000000004">
      <c r="A1022" s="20"/>
      <c r="B1022" s="11"/>
      <c r="C1022" s="22"/>
    </row>
    <row r="1023" spans="1:3" ht="14.25" customHeight="1" x14ac:dyDescent="0.55000000000000004">
      <c r="A1023" s="20"/>
      <c r="B1023" s="11"/>
      <c r="C1023" s="22"/>
    </row>
    <row r="1024" spans="1:3" ht="14.25" customHeight="1" x14ac:dyDescent="0.55000000000000004">
      <c r="A1024" s="20"/>
      <c r="B1024" s="11"/>
      <c r="C1024" s="22"/>
    </row>
    <row r="1025" spans="1:3" ht="14.25" customHeight="1" x14ac:dyDescent="0.55000000000000004">
      <c r="A1025" s="20"/>
      <c r="B1025" s="11"/>
      <c r="C1025" s="22"/>
    </row>
    <row r="1026" spans="1:3" ht="14.25" customHeight="1" x14ac:dyDescent="0.55000000000000004">
      <c r="A1026" s="20"/>
      <c r="B1026" s="11"/>
      <c r="C1026" s="22"/>
    </row>
    <row r="1027" spans="1:3" ht="14.25" customHeight="1" x14ac:dyDescent="0.55000000000000004">
      <c r="A1027" s="20"/>
      <c r="B1027" s="11"/>
      <c r="C1027" s="22"/>
    </row>
    <row r="1028" spans="1:3" ht="14.25" customHeight="1" x14ac:dyDescent="0.55000000000000004">
      <c r="A1028" s="20"/>
      <c r="B1028" s="11"/>
      <c r="C1028" s="22"/>
    </row>
    <row r="1029" spans="1:3" ht="14.25" customHeight="1" x14ac:dyDescent="0.55000000000000004">
      <c r="A1029" s="20"/>
      <c r="B1029" s="11"/>
      <c r="C1029" s="22"/>
    </row>
    <row r="1030" spans="1:3" ht="14.25" customHeight="1" x14ac:dyDescent="0.55000000000000004">
      <c r="A1030" s="20"/>
      <c r="B1030" s="11"/>
      <c r="C1030" s="22"/>
    </row>
    <row r="1031" spans="1:3" ht="14.25" customHeight="1" x14ac:dyDescent="0.55000000000000004">
      <c r="A1031" s="20"/>
      <c r="B1031" s="11"/>
      <c r="C1031" s="22"/>
    </row>
    <row r="1032" spans="1:3" ht="14.25" customHeight="1" x14ac:dyDescent="0.55000000000000004">
      <c r="A1032" s="20"/>
      <c r="B1032" s="11"/>
      <c r="C1032" s="22"/>
    </row>
    <row r="1033" spans="1:3" ht="14.25" customHeight="1" x14ac:dyDescent="0.55000000000000004">
      <c r="A1033" s="20"/>
      <c r="B1033" s="11"/>
      <c r="C1033" s="22"/>
    </row>
    <row r="1034" spans="1:3" ht="14.25" customHeight="1" x14ac:dyDescent="0.55000000000000004">
      <c r="A1034" s="20"/>
      <c r="B1034" s="11"/>
      <c r="C1034" s="22"/>
    </row>
    <row r="1035" spans="1:3" ht="14.25" customHeight="1" x14ac:dyDescent="0.55000000000000004">
      <c r="A1035" s="20"/>
      <c r="B1035" s="11"/>
      <c r="C1035" s="22"/>
    </row>
    <row r="1036" spans="1:3" ht="14.25" customHeight="1" x14ac:dyDescent="0.55000000000000004">
      <c r="A1036" s="20"/>
      <c r="B1036" s="11"/>
      <c r="C1036" s="22"/>
    </row>
    <row r="1037" spans="1:3" ht="14.25" customHeight="1" x14ac:dyDescent="0.55000000000000004">
      <c r="A1037" s="20"/>
      <c r="B1037" s="11"/>
      <c r="C1037" s="22"/>
    </row>
    <row r="1038" spans="1:3" ht="14.25" customHeight="1" x14ac:dyDescent="0.55000000000000004">
      <c r="A1038" s="20"/>
      <c r="B1038" s="11"/>
      <c r="C1038" s="22"/>
    </row>
    <row r="1039" spans="1:3" ht="14.25" customHeight="1" x14ac:dyDescent="0.55000000000000004">
      <c r="A1039" s="20"/>
      <c r="B1039" s="11"/>
      <c r="C1039" s="22"/>
    </row>
    <row r="1040" spans="1:3" ht="14.25" customHeight="1" x14ac:dyDescent="0.55000000000000004">
      <c r="A1040" s="20"/>
      <c r="B1040" s="11"/>
      <c r="C1040" s="22"/>
    </row>
    <row r="1041" spans="1:3" ht="14.25" customHeight="1" x14ac:dyDescent="0.55000000000000004">
      <c r="A1041" s="20"/>
      <c r="B1041" s="11"/>
      <c r="C1041" s="22"/>
    </row>
    <row r="1042" spans="1:3" ht="14.25" customHeight="1" x14ac:dyDescent="0.55000000000000004">
      <c r="A1042" s="20"/>
      <c r="B1042" s="11"/>
      <c r="C1042" s="22"/>
    </row>
    <row r="1043" spans="1:3" ht="14.25" customHeight="1" x14ac:dyDescent="0.55000000000000004">
      <c r="A1043" s="20"/>
      <c r="B1043" s="11"/>
      <c r="C1043" s="22"/>
    </row>
    <row r="1044" spans="1:3" ht="14.25" customHeight="1" x14ac:dyDescent="0.55000000000000004">
      <c r="A1044" s="20"/>
      <c r="B1044" s="11"/>
      <c r="C1044" s="22"/>
    </row>
    <row r="1045" spans="1:3" ht="14.25" customHeight="1" x14ac:dyDescent="0.55000000000000004">
      <c r="A1045" s="20"/>
      <c r="B1045" s="11"/>
      <c r="C1045" s="22"/>
    </row>
    <row r="1046" spans="1:3" ht="14.25" customHeight="1" x14ac:dyDescent="0.55000000000000004">
      <c r="A1046" s="20"/>
      <c r="B1046" s="11"/>
      <c r="C1046" s="22"/>
    </row>
    <row r="1047" spans="1:3" ht="14.25" customHeight="1" x14ac:dyDescent="0.55000000000000004">
      <c r="A1047" s="20"/>
      <c r="B1047" s="11"/>
      <c r="C1047" s="22"/>
    </row>
    <row r="1048" spans="1:3" ht="14.25" customHeight="1" x14ac:dyDescent="0.55000000000000004">
      <c r="A1048" s="20"/>
      <c r="B1048" s="11"/>
      <c r="C1048" s="22"/>
    </row>
    <row r="1049" spans="1:3" ht="14.25" customHeight="1" x14ac:dyDescent="0.55000000000000004">
      <c r="A1049" s="20"/>
      <c r="B1049" s="11"/>
      <c r="C1049" s="22"/>
    </row>
    <row r="1050" spans="1:3" ht="14.25" customHeight="1" x14ac:dyDescent="0.55000000000000004">
      <c r="A1050" s="20"/>
      <c r="B1050" s="11"/>
      <c r="C1050" s="22"/>
    </row>
    <row r="1051" spans="1:3" ht="14.25" customHeight="1" x14ac:dyDescent="0.55000000000000004">
      <c r="A1051" s="20"/>
      <c r="B1051" s="11"/>
      <c r="C1051" s="22"/>
    </row>
    <row r="1052" spans="1:3" ht="14.25" customHeight="1" x14ac:dyDescent="0.55000000000000004">
      <c r="A1052" s="20"/>
      <c r="B1052" s="11"/>
      <c r="C1052" s="22"/>
    </row>
    <row r="1053" spans="1:3" ht="14.25" customHeight="1" x14ac:dyDescent="0.55000000000000004">
      <c r="A1053" s="20"/>
      <c r="B1053" s="11"/>
      <c r="C1053" s="22"/>
    </row>
    <row r="1054" spans="1:3" ht="14.25" customHeight="1" x14ac:dyDescent="0.55000000000000004">
      <c r="A1054" s="20"/>
      <c r="B1054" s="11"/>
      <c r="C1054" s="22"/>
    </row>
    <row r="1055" spans="1:3" ht="14.25" customHeight="1" x14ac:dyDescent="0.55000000000000004">
      <c r="A1055" s="20"/>
      <c r="B1055" s="11"/>
      <c r="C1055" s="22"/>
    </row>
    <row r="1056" spans="1:3" ht="14.25" customHeight="1" x14ac:dyDescent="0.55000000000000004">
      <c r="A1056" s="20"/>
      <c r="B1056" s="11"/>
      <c r="C1056" s="22"/>
    </row>
    <row r="1057" spans="1:3" ht="14.25" customHeight="1" x14ac:dyDescent="0.55000000000000004">
      <c r="A1057" s="20"/>
      <c r="B1057" s="11"/>
      <c r="C1057" s="22"/>
    </row>
    <row r="1058" spans="1:3" ht="14.25" customHeight="1" x14ac:dyDescent="0.55000000000000004">
      <c r="A1058" s="20"/>
      <c r="B1058" s="11"/>
      <c r="C1058" s="22"/>
    </row>
    <row r="1059" spans="1:3" ht="14.25" customHeight="1" x14ac:dyDescent="0.55000000000000004">
      <c r="A1059" s="20"/>
      <c r="B1059" s="11"/>
      <c r="C1059" s="22"/>
    </row>
    <row r="1060" spans="1:3" ht="14.25" customHeight="1" x14ac:dyDescent="0.55000000000000004">
      <c r="A1060" s="20"/>
      <c r="B1060" s="11"/>
      <c r="C1060" s="22"/>
    </row>
    <row r="1061" spans="1:3" ht="14.25" customHeight="1" x14ac:dyDescent="0.55000000000000004">
      <c r="A1061" s="20"/>
      <c r="B1061" s="11"/>
      <c r="C1061" s="22"/>
    </row>
    <row r="1062" spans="1:3" ht="14.25" customHeight="1" x14ac:dyDescent="0.55000000000000004">
      <c r="A1062" s="20"/>
      <c r="B1062" s="11"/>
      <c r="C1062" s="22"/>
    </row>
    <row r="1063" spans="1:3" ht="14.25" customHeight="1" x14ac:dyDescent="0.55000000000000004">
      <c r="A1063" s="20"/>
      <c r="B1063" s="11"/>
      <c r="C1063" s="22"/>
    </row>
    <row r="1064" spans="1:3" ht="14.25" customHeight="1" x14ac:dyDescent="0.55000000000000004">
      <c r="A1064" s="20"/>
      <c r="B1064" s="11"/>
      <c r="C1064" s="22"/>
    </row>
    <row r="1065" spans="1:3" ht="14.25" customHeight="1" x14ac:dyDescent="0.55000000000000004">
      <c r="A1065" s="20"/>
      <c r="B1065" s="11"/>
      <c r="C1065" s="22"/>
    </row>
    <row r="1066" spans="1:3" ht="14.25" customHeight="1" x14ac:dyDescent="0.55000000000000004">
      <c r="A1066" s="20"/>
      <c r="B1066" s="11"/>
      <c r="C1066" s="22"/>
    </row>
    <row r="1067" spans="1:3" ht="14.25" customHeight="1" x14ac:dyDescent="0.55000000000000004">
      <c r="A1067" s="20"/>
      <c r="B1067" s="11"/>
      <c r="C1067" s="22"/>
    </row>
    <row r="1068" spans="1:3" ht="14.25" customHeight="1" x14ac:dyDescent="0.55000000000000004">
      <c r="A1068" s="20"/>
      <c r="B1068" s="11"/>
      <c r="C1068" s="22"/>
    </row>
    <row r="1069" spans="1:3" ht="14.25" customHeight="1" x14ac:dyDescent="0.55000000000000004">
      <c r="A1069" s="20"/>
      <c r="B1069" s="11"/>
      <c r="C1069" s="22"/>
    </row>
    <row r="1070" spans="1:3" ht="14.25" customHeight="1" x14ac:dyDescent="0.55000000000000004">
      <c r="A1070" s="20"/>
      <c r="B1070" s="11"/>
      <c r="C1070" s="22"/>
    </row>
    <row r="1071" spans="1:3" ht="14.25" customHeight="1" x14ac:dyDescent="0.55000000000000004">
      <c r="A1071" s="20"/>
      <c r="B1071" s="11"/>
      <c r="C1071" s="22"/>
    </row>
    <row r="1072" spans="1:3" ht="14.25" customHeight="1" x14ac:dyDescent="0.55000000000000004">
      <c r="A1072" s="20"/>
      <c r="B1072" s="11"/>
      <c r="C1072" s="22"/>
    </row>
    <row r="1073" spans="1:3" ht="14.25" customHeight="1" x14ac:dyDescent="0.55000000000000004">
      <c r="A1073" s="20"/>
      <c r="B1073" s="11"/>
      <c r="C1073" s="22"/>
    </row>
    <row r="1074" spans="1:3" ht="14.25" customHeight="1" x14ac:dyDescent="0.55000000000000004">
      <c r="A1074" s="20"/>
      <c r="B1074" s="11"/>
      <c r="C1074" s="22"/>
    </row>
    <row r="1075" spans="1:3" ht="14.25" customHeight="1" x14ac:dyDescent="0.55000000000000004">
      <c r="A1075" s="20"/>
      <c r="B1075" s="11"/>
      <c r="C1075" s="22"/>
    </row>
    <row r="1076" spans="1:3" ht="14.25" customHeight="1" x14ac:dyDescent="0.55000000000000004">
      <c r="A1076" s="20"/>
      <c r="B1076" s="11"/>
      <c r="C1076" s="22"/>
    </row>
    <row r="1077" spans="1:3" ht="14.25" customHeight="1" x14ac:dyDescent="0.55000000000000004">
      <c r="A1077" s="20"/>
      <c r="B1077" s="11"/>
      <c r="C1077" s="22"/>
    </row>
    <row r="1078" spans="1:3" ht="14.25" customHeight="1" x14ac:dyDescent="0.55000000000000004">
      <c r="A1078" s="20"/>
      <c r="B1078" s="11"/>
      <c r="C1078" s="22"/>
    </row>
    <row r="1079" spans="1:3" ht="14.25" customHeight="1" x14ac:dyDescent="0.55000000000000004">
      <c r="A1079" s="20"/>
      <c r="B1079" s="11"/>
      <c r="C1079" s="22"/>
    </row>
    <row r="1080" spans="1:3" ht="14.25" customHeight="1" x14ac:dyDescent="0.55000000000000004">
      <c r="A1080" s="20"/>
      <c r="B1080" s="11"/>
      <c r="C1080" s="22"/>
    </row>
    <row r="1081" spans="1:3" ht="14.25" customHeight="1" x14ac:dyDescent="0.55000000000000004">
      <c r="A1081" s="20"/>
      <c r="B1081" s="11"/>
      <c r="C1081" s="22"/>
    </row>
  </sheetData>
  <pageMargins left="0.25" right="0.25" top="0.75" bottom="0.75" header="0" footer="0"/>
  <pageSetup paperSize="9" fitToHeight="0"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10"/>
  <sheetViews>
    <sheetView workbookViewId="0"/>
  </sheetViews>
  <sheetFormatPr defaultColWidth="14.453125" defaultRowHeight="15" customHeight="1" x14ac:dyDescent="0.35"/>
  <cols>
    <col min="1" max="1" width="20.7265625" customWidth="1"/>
    <col min="2" max="3" width="60.54296875" customWidth="1"/>
  </cols>
  <sheetData>
    <row r="1" spans="1:3" ht="14.25" customHeight="1" x14ac:dyDescent="0.35">
      <c r="A1" s="25" t="s">
        <v>154</v>
      </c>
      <c r="B1" s="26" t="s">
        <v>0</v>
      </c>
      <c r="C1" s="27"/>
    </row>
    <row r="2" spans="1:3" ht="14.25" customHeight="1" x14ac:dyDescent="0.55000000000000004">
      <c r="A2" s="28" t="s">
        <v>155</v>
      </c>
      <c r="B2" s="28" t="s">
        <v>156</v>
      </c>
      <c r="C2" s="4" t="str">
        <f ca="1">IFERROR(__xludf.DUMMYFUNCTION("GOOGLETRANSLATE(B2,""en"",""id"")"),"Jumlah total yang diminta oleh peminjam")</f>
        <v>Jumlah total yang diminta oleh peminjam</v>
      </c>
    </row>
    <row r="3" spans="1:3" ht="14.25" customHeight="1" x14ac:dyDescent="0.55000000000000004">
      <c r="A3" s="28" t="s">
        <v>157</v>
      </c>
      <c r="B3" s="28" t="s">
        <v>158</v>
      </c>
      <c r="C3" s="4" t="str">
        <f ca="1">IFERROR(__xludf.DUMMYFUNCTION("GOOGLETRANSLATE(B3,""en"",""id"")"),"Tanggal yang diterapkan peminjam")</f>
        <v>Tanggal yang diterapkan peminjam</v>
      </c>
    </row>
    <row r="4" spans="1:3" ht="14.25" customHeight="1" x14ac:dyDescent="0.55000000000000004">
      <c r="A4" s="28" t="s">
        <v>159</v>
      </c>
      <c r="B4" s="3" t="s">
        <v>123</v>
      </c>
      <c r="C4" s="4" t="str">
        <f ca="1">IFERROR(__xludf.DUMMYFUNCTION("GOOGLETRANSLATE(B4,""en"",""id"")"),"Judul pinjaman yang disediakan oleh peminjam")</f>
        <v>Judul pinjaman yang disediakan oleh peminjam</v>
      </c>
    </row>
    <row r="5" spans="1:3" ht="14.25" customHeight="1" x14ac:dyDescent="0.55000000000000004">
      <c r="A5" s="28" t="s">
        <v>160</v>
      </c>
      <c r="B5" s="29" t="s">
        <v>161</v>
      </c>
      <c r="C5" s="4" t="str">
        <f ca="1">IFERROR(__xludf.DUMMYFUNCTION("GOOGLETRANSLATE(B5,""en"",""id"")"),"Untuk aplikasi sebelum 5 November 2013 skor risiko adalah skor FICO peminjam. Untuk aplikasi setelah 5 November 2013 skor risikonya adalah skor Vantage Peminjam.")</f>
        <v>Untuk aplikasi sebelum 5 November 2013 skor risiko adalah skor FICO peminjam. Untuk aplikasi setelah 5 November 2013 skor risikonya adalah skor Vantage Peminjam.</v>
      </c>
    </row>
    <row r="6" spans="1:3" ht="14.25" customHeight="1" x14ac:dyDescent="0.55000000000000004">
      <c r="A6" s="28" t="s">
        <v>162</v>
      </c>
      <c r="B6" s="3" t="s">
        <v>33</v>
      </c>
      <c r="C6" s="4" t="str">
        <f ca="1">IFERROR(__xludf.DUMMYFUNCTION("GOOGLETRANSLATE(B6,""en"",""id"")"),"Rasio yang dihitung menggunakan total pembayaran utang bulanan peminjam atas total kewajiban utang, tidak termasuk hipotek dan pinjaman LC yang diminta, dibagi dengan pendapatan bulanan peminjam yang dilaporkan sendiri.")</f>
        <v>Rasio yang dihitung menggunakan total pembayaran utang bulanan peminjam atas total kewajiban utang, tidak termasuk hipotek dan pinjaman LC yang diminta, dibagi dengan pendapatan bulanan peminjam yang dilaporkan sendiri.</v>
      </c>
    </row>
    <row r="7" spans="1:3" ht="14.25" customHeight="1" x14ac:dyDescent="0.55000000000000004">
      <c r="A7" s="28" t="s">
        <v>163</v>
      </c>
      <c r="B7" s="3" t="s">
        <v>151</v>
      </c>
      <c r="C7" s="4" t="str">
        <f ca="1">IFERROR(__xludf.DUMMYFUNCTION("GOOGLETRANSLATE(B7,""en"",""id"")"),"3 nomor pertama dari kode pos yang disediakan oleh peminjam dalam aplikasi pinjaman.")</f>
        <v>3 nomor pertama dari kode pos yang disediakan oleh peminjam dalam aplikasi pinjaman.</v>
      </c>
    </row>
    <row r="8" spans="1:3" ht="14.25" customHeight="1" x14ac:dyDescent="0.55000000000000004">
      <c r="A8" s="28" t="s">
        <v>164</v>
      </c>
      <c r="B8" s="28" t="s">
        <v>6</v>
      </c>
      <c r="C8" s="4" t="str">
        <f ca="1">IFERROR(__xludf.DUMMYFUNCTION("GOOGLETRANSLATE(B8,""en"",""id"")"),"Negara yang disediakan oleh peminjam dalam aplikasi pinjaman")</f>
        <v>Negara yang disediakan oleh peminjam dalam aplikasi pinjaman</v>
      </c>
    </row>
    <row r="9" spans="1:3" ht="14.25" customHeight="1" x14ac:dyDescent="0.55000000000000004">
      <c r="A9" s="28" t="s">
        <v>165</v>
      </c>
      <c r="B9" s="3" t="s">
        <v>166</v>
      </c>
      <c r="C9" s="4" t="str">
        <f ca="1">IFERROR(__xludf.DUMMYFUNCTION("GOOGLETRANSLATE(B9,""en"",""id"")"),"Panjang pekerjaan dalam beberapa tahun. Nilai yang mungkin adalah antara 0 dan 10 di mana 0 berarti kurang dari satu tahun dan 10 berarti sepuluh tahun atau lebih.")</f>
        <v>Panjang pekerjaan dalam beberapa tahun. Nilai yang mungkin adalah antara 0 dan 10 di mana 0 berarti kurang dari satu tahun dan 10 berarti sepuluh tahun atau lebih.</v>
      </c>
    </row>
    <row r="10" spans="1:3" ht="14.25" customHeight="1" x14ac:dyDescent="0.55000000000000004">
      <c r="A10" s="28" t="s">
        <v>167</v>
      </c>
      <c r="B10" s="3" t="s">
        <v>107</v>
      </c>
      <c r="C10" s="4" t="str">
        <f ca="1">IFERROR(__xludf.DUMMYFUNCTION("GOOGLETRANSLATE(B10,""en"",""id"")"),"Policy_code yang tersedia untuk umum = 1
Produk Baru Tidak Tersedia Umum Kebijakan_Code = 2")</f>
        <v>Policy_code yang tersedia untuk umum = 1
Produk Baru Tidak Tersedia Umum Kebijakan_Code = 2</v>
      </c>
    </row>
    <row r="11" spans="1:3" ht="14.25" customHeight="1" x14ac:dyDescent="0.55000000000000004">
      <c r="A11" s="30"/>
      <c r="B11" s="11"/>
      <c r="C11" s="4"/>
    </row>
    <row r="12" spans="1:3" ht="14.25" customHeight="1" x14ac:dyDescent="0.55000000000000004">
      <c r="A12" s="30"/>
      <c r="B12" s="11"/>
      <c r="C12" s="4"/>
    </row>
    <row r="13" spans="1:3" ht="14.25" customHeight="1" x14ac:dyDescent="0.55000000000000004">
      <c r="A13" s="30"/>
      <c r="B13" s="11"/>
      <c r="C13" s="4"/>
    </row>
    <row r="14" spans="1:3" ht="14.25" customHeight="1" x14ac:dyDescent="0.55000000000000004">
      <c r="A14" s="30"/>
      <c r="B14" s="11"/>
      <c r="C14" s="4"/>
    </row>
    <row r="15" spans="1:3" ht="14.25" customHeight="1" x14ac:dyDescent="0.55000000000000004">
      <c r="A15" s="30"/>
      <c r="B15" s="11"/>
      <c r="C15" s="4"/>
    </row>
    <row r="16" spans="1:3" ht="14.25" customHeight="1" x14ac:dyDescent="0.55000000000000004">
      <c r="A16" s="30"/>
      <c r="B16" s="11"/>
      <c r="C16" s="4"/>
    </row>
    <row r="17" spans="1:3" ht="14.25" customHeight="1" x14ac:dyDescent="0.55000000000000004">
      <c r="A17" s="30"/>
      <c r="B17" s="11"/>
      <c r="C17" s="4"/>
    </row>
    <row r="18" spans="1:3" ht="14.25" customHeight="1" x14ac:dyDescent="0.55000000000000004">
      <c r="A18" s="30"/>
      <c r="B18" s="11"/>
      <c r="C18" s="4"/>
    </row>
    <row r="19" spans="1:3" ht="14.25" customHeight="1" x14ac:dyDescent="0.55000000000000004">
      <c r="A19" s="30"/>
      <c r="B19" s="11"/>
      <c r="C19" s="4"/>
    </row>
    <row r="20" spans="1:3" ht="14.25" customHeight="1" x14ac:dyDescent="0.55000000000000004">
      <c r="A20" s="30"/>
      <c r="B20" s="11"/>
      <c r="C20" s="4"/>
    </row>
    <row r="21" spans="1:3" ht="14.25" customHeight="1" x14ac:dyDescent="0.55000000000000004">
      <c r="A21" s="30"/>
      <c r="B21" s="11"/>
      <c r="C21" s="4"/>
    </row>
    <row r="22" spans="1:3" ht="14.25" customHeight="1" x14ac:dyDescent="0.55000000000000004">
      <c r="A22" s="30"/>
      <c r="B22" s="11"/>
      <c r="C22" s="4"/>
    </row>
    <row r="23" spans="1:3" ht="14.25" customHeight="1" x14ac:dyDescent="0.55000000000000004">
      <c r="A23" s="30"/>
      <c r="B23" s="11"/>
      <c r="C23" s="4"/>
    </row>
    <row r="24" spans="1:3" ht="14.25" customHeight="1" x14ac:dyDescent="0.55000000000000004">
      <c r="A24" s="30"/>
      <c r="B24" s="11"/>
      <c r="C24" s="4"/>
    </row>
    <row r="25" spans="1:3" ht="14.25" customHeight="1" x14ac:dyDescent="0.55000000000000004">
      <c r="A25" s="30"/>
      <c r="B25" s="11"/>
      <c r="C25" s="4"/>
    </row>
    <row r="26" spans="1:3" ht="14.25" customHeight="1" x14ac:dyDescent="0.55000000000000004">
      <c r="A26" s="30"/>
      <c r="B26" s="11"/>
      <c r="C26" s="4"/>
    </row>
    <row r="27" spans="1:3" ht="14.25" customHeight="1" x14ac:dyDescent="0.55000000000000004">
      <c r="A27" s="30"/>
      <c r="B27" s="11"/>
      <c r="C27" s="4"/>
    </row>
    <row r="28" spans="1:3" ht="14.25" customHeight="1" x14ac:dyDescent="0.55000000000000004">
      <c r="A28" s="30"/>
      <c r="B28" s="11"/>
      <c r="C28" s="4"/>
    </row>
    <row r="29" spans="1:3" ht="14.25" customHeight="1" x14ac:dyDescent="0.55000000000000004">
      <c r="A29" s="30"/>
      <c r="B29" s="11"/>
      <c r="C29" s="4"/>
    </row>
    <row r="30" spans="1:3" ht="14.25" customHeight="1" x14ac:dyDescent="0.55000000000000004">
      <c r="A30" s="30"/>
      <c r="B30" s="11"/>
      <c r="C30" s="4"/>
    </row>
    <row r="31" spans="1:3" ht="14.25" customHeight="1" x14ac:dyDescent="0.55000000000000004">
      <c r="A31" s="30"/>
      <c r="B31" s="11"/>
      <c r="C31" s="4"/>
    </row>
    <row r="32" spans="1:3" ht="14.25" customHeight="1" x14ac:dyDescent="0.55000000000000004">
      <c r="A32" s="30"/>
      <c r="B32" s="11"/>
      <c r="C32" s="4"/>
    </row>
    <row r="33" spans="1:3" ht="14.25" customHeight="1" x14ac:dyDescent="0.55000000000000004">
      <c r="A33" s="30"/>
      <c r="B33" s="11"/>
      <c r="C33" s="4"/>
    </row>
    <row r="34" spans="1:3" ht="14.25" customHeight="1" x14ac:dyDescent="0.55000000000000004">
      <c r="A34" s="30"/>
      <c r="B34" s="11"/>
      <c r="C34" s="4"/>
    </row>
    <row r="35" spans="1:3" ht="14.25" customHeight="1" x14ac:dyDescent="0.55000000000000004">
      <c r="A35" s="30"/>
      <c r="B35" s="11"/>
      <c r="C35" s="4"/>
    </row>
    <row r="36" spans="1:3" ht="14.25" customHeight="1" x14ac:dyDescent="0.55000000000000004">
      <c r="A36" s="30"/>
      <c r="B36" s="11"/>
      <c r="C36" s="4"/>
    </row>
    <row r="37" spans="1:3" ht="14.25" customHeight="1" x14ac:dyDescent="0.55000000000000004">
      <c r="A37" s="30"/>
      <c r="B37" s="11"/>
      <c r="C37" s="4"/>
    </row>
    <row r="38" spans="1:3" ht="14.25" customHeight="1" x14ac:dyDescent="0.55000000000000004">
      <c r="A38" s="30"/>
      <c r="B38" s="11"/>
      <c r="C38" s="4"/>
    </row>
    <row r="39" spans="1:3" ht="14.25" customHeight="1" x14ac:dyDescent="0.55000000000000004">
      <c r="A39" s="30"/>
      <c r="B39" s="11"/>
      <c r="C39" s="4"/>
    </row>
    <row r="40" spans="1:3" ht="14.25" customHeight="1" x14ac:dyDescent="0.55000000000000004">
      <c r="A40" s="30"/>
      <c r="B40" s="11"/>
      <c r="C40" s="4"/>
    </row>
    <row r="41" spans="1:3" ht="14.25" customHeight="1" x14ac:dyDescent="0.55000000000000004">
      <c r="A41" s="30"/>
      <c r="B41" s="11"/>
      <c r="C41" s="4"/>
    </row>
    <row r="42" spans="1:3" ht="14.25" customHeight="1" x14ac:dyDescent="0.55000000000000004">
      <c r="A42" s="30"/>
      <c r="B42" s="11"/>
      <c r="C42" s="4"/>
    </row>
    <row r="43" spans="1:3" ht="14.25" customHeight="1" x14ac:dyDescent="0.55000000000000004">
      <c r="A43" s="30"/>
      <c r="B43" s="11"/>
      <c r="C43" s="4"/>
    </row>
    <row r="44" spans="1:3" ht="14.25" customHeight="1" x14ac:dyDescent="0.55000000000000004">
      <c r="A44" s="30"/>
      <c r="B44" s="11"/>
      <c r="C44" s="4"/>
    </row>
    <row r="45" spans="1:3" ht="14.25" customHeight="1" x14ac:dyDescent="0.55000000000000004">
      <c r="A45" s="30"/>
      <c r="B45" s="11"/>
      <c r="C45" s="4"/>
    </row>
    <row r="46" spans="1:3" ht="14.25" customHeight="1" x14ac:dyDescent="0.55000000000000004">
      <c r="A46" s="30"/>
      <c r="B46" s="11"/>
      <c r="C46" s="4"/>
    </row>
    <row r="47" spans="1:3" ht="14.25" customHeight="1" x14ac:dyDescent="0.55000000000000004">
      <c r="A47" s="30"/>
      <c r="B47" s="11"/>
      <c r="C47" s="4"/>
    </row>
    <row r="48" spans="1:3" ht="14.25" customHeight="1" x14ac:dyDescent="0.55000000000000004">
      <c r="A48" s="30"/>
      <c r="B48" s="11"/>
      <c r="C48" s="4"/>
    </row>
    <row r="49" spans="1:3" ht="14.25" customHeight="1" x14ac:dyDescent="0.55000000000000004">
      <c r="A49" s="30"/>
      <c r="B49" s="11"/>
      <c r="C49" s="4"/>
    </row>
    <row r="50" spans="1:3" ht="14.25" customHeight="1" x14ac:dyDescent="0.55000000000000004">
      <c r="A50" s="30"/>
      <c r="B50" s="11"/>
      <c r="C50" s="4"/>
    </row>
    <row r="51" spans="1:3" ht="14.25" customHeight="1" x14ac:dyDescent="0.55000000000000004">
      <c r="A51" s="30"/>
      <c r="B51" s="11"/>
      <c r="C51" s="4"/>
    </row>
    <row r="52" spans="1:3" ht="14.25" customHeight="1" x14ac:dyDescent="0.55000000000000004">
      <c r="A52" s="30"/>
      <c r="B52" s="11"/>
      <c r="C52" s="4"/>
    </row>
    <row r="53" spans="1:3" ht="14.25" customHeight="1" x14ac:dyDescent="0.55000000000000004">
      <c r="A53" s="30"/>
      <c r="B53" s="11"/>
      <c r="C53" s="4"/>
    </row>
    <row r="54" spans="1:3" ht="14.25" customHeight="1" x14ac:dyDescent="0.55000000000000004">
      <c r="A54" s="30"/>
      <c r="B54" s="11"/>
      <c r="C54" s="4"/>
    </row>
    <row r="55" spans="1:3" ht="14.25" customHeight="1" x14ac:dyDescent="0.55000000000000004">
      <c r="A55" s="30"/>
      <c r="B55" s="11"/>
      <c r="C55" s="4"/>
    </row>
    <row r="56" spans="1:3" ht="14.25" customHeight="1" x14ac:dyDescent="0.55000000000000004">
      <c r="A56" s="30"/>
      <c r="B56" s="11"/>
      <c r="C56" s="4"/>
    </row>
    <row r="57" spans="1:3" ht="14.25" customHeight="1" x14ac:dyDescent="0.55000000000000004">
      <c r="A57" s="30"/>
      <c r="B57" s="11"/>
      <c r="C57" s="4"/>
    </row>
    <row r="58" spans="1:3" ht="14.25" customHeight="1" x14ac:dyDescent="0.55000000000000004">
      <c r="A58" s="30"/>
      <c r="B58" s="11"/>
      <c r="C58" s="4"/>
    </row>
    <row r="59" spans="1:3" ht="14.25" customHeight="1" x14ac:dyDescent="0.55000000000000004">
      <c r="A59" s="30"/>
      <c r="B59" s="11"/>
      <c r="C59" s="4"/>
    </row>
    <row r="60" spans="1:3" ht="14.25" customHeight="1" x14ac:dyDescent="0.55000000000000004">
      <c r="A60" s="30"/>
      <c r="B60" s="11"/>
      <c r="C60" s="4"/>
    </row>
    <row r="61" spans="1:3" ht="14.25" customHeight="1" x14ac:dyDescent="0.55000000000000004">
      <c r="A61" s="30"/>
      <c r="B61" s="11"/>
      <c r="C61" s="4"/>
    </row>
    <row r="62" spans="1:3" ht="14.25" customHeight="1" x14ac:dyDescent="0.55000000000000004">
      <c r="A62" s="30"/>
      <c r="B62" s="11"/>
      <c r="C62" s="4"/>
    </row>
    <row r="63" spans="1:3" ht="14.25" customHeight="1" x14ac:dyDescent="0.55000000000000004">
      <c r="A63" s="30"/>
      <c r="B63" s="11"/>
      <c r="C63" s="4"/>
    </row>
    <row r="64" spans="1:3" ht="14.25" customHeight="1" x14ac:dyDescent="0.55000000000000004">
      <c r="A64" s="30"/>
      <c r="B64" s="11"/>
      <c r="C64" s="4"/>
    </row>
    <row r="65" spans="1:3" ht="14.25" customHeight="1" x14ac:dyDescent="0.55000000000000004">
      <c r="A65" s="30"/>
      <c r="B65" s="11"/>
      <c r="C65" s="4"/>
    </row>
    <row r="66" spans="1:3" ht="14.25" customHeight="1" x14ac:dyDescent="0.55000000000000004">
      <c r="A66" s="30"/>
      <c r="B66" s="11"/>
      <c r="C66" s="4"/>
    </row>
    <row r="67" spans="1:3" ht="14.25" customHeight="1" x14ac:dyDescent="0.55000000000000004">
      <c r="A67" s="30"/>
      <c r="B67" s="11"/>
      <c r="C67" s="4"/>
    </row>
    <row r="68" spans="1:3" ht="14.25" customHeight="1" x14ac:dyDescent="0.55000000000000004">
      <c r="A68" s="30"/>
      <c r="B68" s="11"/>
      <c r="C68" s="4"/>
    </row>
    <row r="69" spans="1:3" ht="14.25" customHeight="1" x14ac:dyDescent="0.55000000000000004">
      <c r="A69" s="30"/>
      <c r="B69" s="11"/>
      <c r="C69" s="4"/>
    </row>
    <row r="70" spans="1:3" ht="14.25" customHeight="1" x14ac:dyDescent="0.55000000000000004">
      <c r="A70" s="30"/>
      <c r="B70" s="11"/>
      <c r="C70" s="4"/>
    </row>
    <row r="71" spans="1:3" ht="14.25" customHeight="1" x14ac:dyDescent="0.55000000000000004">
      <c r="A71" s="30"/>
      <c r="B71" s="11"/>
      <c r="C71" s="4"/>
    </row>
    <row r="72" spans="1:3" ht="14.25" customHeight="1" x14ac:dyDescent="0.55000000000000004">
      <c r="A72" s="30"/>
      <c r="B72" s="11"/>
      <c r="C72" s="4"/>
    </row>
    <row r="73" spans="1:3" ht="14.25" customHeight="1" x14ac:dyDescent="0.55000000000000004">
      <c r="A73" s="30"/>
      <c r="B73" s="11"/>
      <c r="C73" s="4"/>
    </row>
    <row r="74" spans="1:3" ht="14.25" customHeight="1" x14ac:dyDescent="0.55000000000000004">
      <c r="A74" s="30"/>
      <c r="B74" s="11"/>
      <c r="C74" s="4"/>
    </row>
    <row r="75" spans="1:3" ht="14.25" customHeight="1" x14ac:dyDescent="0.55000000000000004">
      <c r="A75" s="30"/>
      <c r="B75" s="11"/>
      <c r="C75" s="4"/>
    </row>
    <row r="76" spans="1:3" ht="14.25" customHeight="1" x14ac:dyDescent="0.55000000000000004">
      <c r="A76" s="30"/>
      <c r="B76" s="11"/>
      <c r="C76" s="4"/>
    </row>
    <row r="77" spans="1:3" ht="14.25" customHeight="1" x14ac:dyDescent="0.55000000000000004">
      <c r="A77" s="30"/>
      <c r="B77" s="11"/>
      <c r="C77" s="4"/>
    </row>
    <row r="78" spans="1:3" ht="14.25" customHeight="1" x14ac:dyDescent="0.55000000000000004">
      <c r="A78" s="30"/>
      <c r="B78" s="11"/>
      <c r="C78" s="4"/>
    </row>
    <row r="79" spans="1:3" ht="14.25" customHeight="1" x14ac:dyDescent="0.55000000000000004">
      <c r="A79" s="30"/>
      <c r="B79" s="11"/>
      <c r="C79" s="4"/>
    </row>
    <row r="80" spans="1:3" ht="14.25" customHeight="1" x14ac:dyDescent="0.55000000000000004">
      <c r="A80" s="30"/>
      <c r="B80" s="11"/>
      <c r="C80" s="4"/>
    </row>
    <row r="81" spans="1:3" ht="14.25" customHeight="1" x14ac:dyDescent="0.55000000000000004">
      <c r="A81" s="30"/>
      <c r="B81" s="11"/>
      <c r="C81" s="4"/>
    </row>
    <row r="82" spans="1:3" ht="14.25" customHeight="1" x14ac:dyDescent="0.55000000000000004">
      <c r="A82" s="30"/>
      <c r="B82" s="11"/>
      <c r="C82" s="4"/>
    </row>
    <row r="83" spans="1:3" ht="14.25" customHeight="1" x14ac:dyDescent="0.55000000000000004">
      <c r="A83" s="30"/>
      <c r="B83" s="11"/>
      <c r="C83" s="4"/>
    </row>
    <row r="84" spans="1:3" ht="14.25" customHeight="1" x14ac:dyDescent="0.55000000000000004">
      <c r="A84" s="30"/>
      <c r="B84" s="11"/>
      <c r="C84" s="4"/>
    </row>
    <row r="85" spans="1:3" ht="14.25" customHeight="1" x14ac:dyDescent="0.55000000000000004">
      <c r="A85" s="30"/>
      <c r="B85" s="11"/>
      <c r="C85" s="4"/>
    </row>
    <row r="86" spans="1:3" ht="14.25" customHeight="1" x14ac:dyDescent="0.55000000000000004">
      <c r="A86" s="30"/>
      <c r="B86" s="11"/>
      <c r="C86" s="4"/>
    </row>
    <row r="87" spans="1:3" ht="14.25" customHeight="1" x14ac:dyDescent="0.55000000000000004">
      <c r="A87" s="30"/>
      <c r="B87" s="11"/>
      <c r="C87" s="4"/>
    </row>
    <row r="88" spans="1:3" ht="14.25" customHeight="1" x14ac:dyDescent="0.55000000000000004">
      <c r="A88" s="30"/>
      <c r="B88" s="11"/>
      <c r="C88" s="4"/>
    </row>
    <row r="89" spans="1:3" ht="14.25" customHeight="1" x14ac:dyDescent="0.55000000000000004">
      <c r="A89" s="30"/>
      <c r="B89" s="11"/>
      <c r="C89" s="4"/>
    </row>
    <row r="90" spans="1:3" ht="14.25" customHeight="1" x14ac:dyDescent="0.55000000000000004">
      <c r="A90" s="30"/>
      <c r="B90" s="11"/>
      <c r="C90" s="4"/>
    </row>
    <row r="91" spans="1:3" ht="14.25" customHeight="1" x14ac:dyDescent="0.55000000000000004">
      <c r="A91" s="30"/>
      <c r="B91" s="11"/>
      <c r="C91" s="4"/>
    </row>
    <row r="92" spans="1:3" ht="14.25" customHeight="1" x14ac:dyDescent="0.55000000000000004">
      <c r="A92" s="30"/>
      <c r="B92" s="11"/>
      <c r="C92" s="4"/>
    </row>
    <row r="93" spans="1:3" ht="14.25" customHeight="1" x14ac:dyDescent="0.55000000000000004">
      <c r="A93" s="30"/>
      <c r="B93" s="11"/>
      <c r="C93" s="4"/>
    </row>
    <row r="94" spans="1:3" ht="14.25" customHeight="1" x14ac:dyDescent="0.55000000000000004">
      <c r="A94" s="30"/>
      <c r="B94" s="11"/>
      <c r="C94" s="4"/>
    </row>
    <row r="95" spans="1:3" ht="14.25" customHeight="1" x14ac:dyDescent="0.55000000000000004">
      <c r="A95" s="30"/>
      <c r="B95" s="11"/>
      <c r="C95" s="4"/>
    </row>
    <row r="96" spans="1:3" ht="14.25" customHeight="1" x14ac:dyDescent="0.55000000000000004">
      <c r="A96" s="30"/>
      <c r="B96" s="11"/>
      <c r="C96" s="4"/>
    </row>
    <row r="97" spans="1:3" ht="14.25" customHeight="1" x14ac:dyDescent="0.55000000000000004">
      <c r="A97" s="30"/>
      <c r="B97" s="11"/>
      <c r="C97" s="4"/>
    </row>
    <row r="98" spans="1:3" ht="14.25" customHeight="1" x14ac:dyDescent="0.55000000000000004">
      <c r="A98" s="30"/>
      <c r="B98" s="11"/>
      <c r="C98" s="4"/>
    </row>
    <row r="99" spans="1:3" ht="14.25" customHeight="1" x14ac:dyDescent="0.55000000000000004">
      <c r="A99" s="30"/>
      <c r="B99" s="11"/>
      <c r="C99" s="4"/>
    </row>
    <row r="100" spans="1:3" ht="14.25" customHeight="1" x14ac:dyDescent="0.55000000000000004">
      <c r="A100" s="30"/>
      <c r="B100" s="11"/>
      <c r="C100" s="4"/>
    </row>
    <row r="101" spans="1:3" ht="14.25" customHeight="1" x14ac:dyDescent="0.55000000000000004">
      <c r="A101" s="30"/>
      <c r="B101" s="11"/>
      <c r="C101" s="4"/>
    </row>
    <row r="102" spans="1:3" ht="14.25" customHeight="1" x14ac:dyDescent="0.55000000000000004">
      <c r="A102" s="30"/>
      <c r="B102" s="11"/>
      <c r="C102" s="4"/>
    </row>
    <row r="103" spans="1:3" ht="14.25" customHeight="1" x14ac:dyDescent="0.55000000000000004">
      <c r="A103" s="30"/>
      <c r="B103" s="11"/>
      <c r="C103" s="4"/>
    </row>
    <row r="104" spans="1:3" ht="14.25" customHeight="1" x14ac:dyDescent="0.55000000000000004">
      <c r="A104" s="30"/>
      <c r="B104" s="11"/>
      <c r="C104" s="4"/>
    </row>
    <row r="105" spans="1:3" ht="14.25" customHeight="1" x14ac:dyDescent="0.55000000000000004">
      <c r="A105" s="30"/>
      <c r="B105" s="11"/>
      <c r="C105" s="4"/>
    </row>
    <row r="106" spans="1:3" ht="14.25" customHeight="1" x14ac:dyDescent="0.55000000000000004">
      <c r="A106" s="30"/>
      <c r="B106" s="11"/>
      <c r="C106" s="4"/>
    </row>
    <row r="107" spans="1:3" ht="14.25" customHeight="1" x14ac:dyDescent="0.55000000000000004">
      <c r="A107" s="30"/>
      <c r="B107" s="11"/>
      <c r="C107" s="4"/>
    </row>
    <row r="108" spans="1:3" ht="14.25" customHeight="1" x14ac:dyDescent="0.55000000000000004">
      <c r="A108" s="30"/>
      <c r="B108" s="11"/>
      <c r="C108" s="4"/>
    </row>
    <row r="109" spans="1:3" ht="14.25" customHeight="1" x14ac:dyDescent="0.55000000000000004">
      <c r="A109" s="30"/>
      <c r="B109" s="11"/>
      <c r="C109" s="4"/>
    </row>
    <row r="110" spans="1:3" ht="14.25" customHeight="1" x14ac:dyDescent="0.55000000000000004">
      <c r="A110" s="30"/>
      <c r="B110" s="11"/>
      <c r="C110" s="4"/>
    </row>
    <row r="111" spans="1:3" ht="14.25" customHeight="1" x14ac:dyDescent="0.55000000000000004">
      <c r="A111" s="30"/>
      <c r="B111" s="11"/>
      <c r="C111" s="4"/>
    </row>
    <row r="112" spans="1:3" ht="14.25" customHeight="1" x14ac:dyDescent="0.55000000000000004">
      <c r="A112" s="30"/>
      <c r="B112" s="11"/>
      <c r="C112" s="4"/>
    </row>
    <row r="113" spans="1:3" ht="14.25" customHeight="1" x14ac:dyDescent="0.55000000000000004">
      <c r="A113" s="30"/>
      <c r="B113" s="11"/>
      <c r="C113" s="4"/>
    </row>
    <row r="114" spans="1:3" ht="14.25" customHeight="1" x14ac:dyDescent="0.55000000000000004">
      <c r="A114" s="30"/>
      <c r="B114" s="11"/>
      <c r="C114" s="4"/>
    </row>
    <row r="115" spans="1:3" ht="14.25" customHeight="1" x14ac:dyDescent="0.55000000000000004">
      <c r="A115" s="30"/>
      <c r="B115" s="11"/>
      <c r="C115" s="4"/>
    </row>
    <row r="116" spans="1:3" ht="14.25" customHeight="1" x14ac:dyDescent="0.55000000000000004">
      <c r="A116" s="30"/>
      <c r="B116" s="11"/>
      <c r="C116" s="4"/>
    </row>
    <row r="117" spans="1:3" ht="14.25" customHeight="1" x14ac:dyDescent="0.55000000000000004">
      <c r="A117" s="30"/>
      <c r="B117" s="11"/>
      <c r="C117" s="4"/>
    </row>
    <row r="118" spans="1:3" ht="14.25" customHeight="1" x14ac:dyDescent="0.55000000000000004">
      <c r="A118" s="30"/>
      <c r="B118" s="11"/>
      <c r="C118" s="4"/>
    </row>
    <row r="119" spans="1:3" ht="14.25" customHeight="1" x14ac:dyDescent="0.55000000000000004">
      <c r="A119" s="30"/>
      <c r="B119" s="11"/>
      <c r="C119" s="4"/>
    </row>
    <row r="120" spans="1:3" ht="14.25" customHeight="1" x14ac:dyDescent="0.55000000000000004">
      <c r="A120" s="30"/>
      <c r="B120" s="11"/>
      <c r="C120" s="4"/>
    </row>
    <row r="121" spans="1:3" ht="14.25" customHeight="1" x14ac:dyDescent="0.55000000000000004">
      <c r="A121" s="30"/>
      <c r="B121" s="11"/>
      <c r="C121" s="4"/>
    </row>
    <row r="122" spans="1:3" ht="14.25" customHeight="1" x14ac:dyDescent="0.55000000000000004">
      <c r="A122" s="30"/>
      <c r="B122" s="11"/>
      <c r="C122" s="4"/>
    </row>
    <row r="123" spans="1:3" ht="14.25" customHeight="1" x14ac:dyDescent="0.55000000000000004">
      <c r="A123" s="30"/>
      <c r="B123" s="11"/>
      <c r="C123" s="4"/>
    </row>
    <row r="124" spans="1:3" ht="14.25" customHeight="1" x14ac:dyDescent="0.55000000000000004">
      <c r="A124" s="30"/>
      <c r="B124" s="11"/>
      <c r="C124" s="4"/>
    </row>
    <row r="125" spans="1:3" ht="14.25" customHeight="1" x14ac:dyDescent="0.55000000000000004">
      <c r="A125" s="30"/>
      <c r="B125" s="11"/>
      <c r="C125" s="4"/>
    </row>
    <row r="126" spans="1:3" ht="14.25" customHeight="1" x14ac:dyDescent="0.55000000000000004">
      <c r="A126" s="30"/>
      <c r="B126" s="11"/>
      <c r="C126" s="4"/>
    </row>
    <row r="127" spans="1:3" ht="14.25" customHeight="1" x14ac:dyDescent="0.55000000000000004">
      <c r="A127" s="30"/>
      <c r="B127" s="11"/>
      <c r="C127" s="4"/>
    </row>
    <row r="128" spans="1:3" ht="14.25" customHeight="1" x14ac:dyDescent="0.55000000000000004">
      <c r="A128" s="30"/>
      <c r="B128" s="11"/>
      <c r="C128" s="4"/>
    </row>
    <row r="129" spans="1:3" ht="14.25" customHeight="1" x14ac:dyDescent="0.55000000000000004">
      <c r="A129" s="30"/>
      <c r="B129" s="11"/>
      <c r="C129" s="4"/>
    </row>
    <row r="130" spans="1:3" ht="14.25" customHeight="1" x14ac:dyDescent="0.55000000000000004">
      <c r="A130" s="30"/>
      <c r="B130" s="11"/>
      <c r="C130" s="4"/>
    </row>
    <row r="131" spans="1:3" ht="14.25" customHeight="1" x14ac:dyDescent="0.55000000000000004">
      <c r="A131" s="30"/>
      <c r="B131" s="11"/>
      <c r="C131" s="4"/>
    </row>
    <row r="132" spans="1:3" ht="14.25" customHeight="1" x14ac:dyDescent="0.55000000000000004">
      <c r="A132" s="30"/>
      <c r="B132" s="11"/>
      <c r="C132" s="4"/>
    </row>
    <row r="133" spans="1:3" ht="14.25" customHeight="1" x14ac:dyDescent="0.55000000000000004">
      <c r="A133" s="30"/>
      <c r="B133" s="11"/>
      <c r="C133" s="4"/>
    </row>
    <row r="134" spans="1:3" ht="14.25" customHeight="1" x14ac:dyDescent="0.55000000000000004">
      <c r="A134" s="30"/>
      <c r="B134" s="11"/>
      <c r="C134" s="4"/>
    </row>
    <row r="135" spans="1:3" ht="14.25" customHeight="1" x14ac:dyDescent="0.55000000000000004">
      <c r="A135" s="30"/>
      <c r="B135" s="11"/>
      <c r="C135" s="4"/>
    </row>
    <row r="136" spans="1:3" ht="14.25" customHeight="1" x14ac:dyDescent="0.55000000000000004">
      <c r="A136" s="30"/>
      <c r="B136" s="11"/>
      <c r="C136" s="4"/>
    </row>
    <row r="137" spans="1:3" ht="14.25" customHeight="1" x14ac:dyDescent="0.55000000000000004">
      <c r="A137" s="30"/>
      <c r="B137" s="11"/>
      <c r="C137" s="4"/>
    </row>
    <row r="138" spans="1:3" ht="14.25" customHeight="1" x14ac:dyDescent="0.55000000000000004">
      <c r="A138" s="30"/>
      <c r="B138" s="11"/>
      <c r="C138" s="4"/>
    </row>
    <row r="139" spans="1:3" ht="14.25" customHeight="1" x14ac:dyDescent="0.55000000000000004">
      <c r="A139" s="30"/>
      <c r="B139" s="11"/>
      <c r="C139" s="4"/>
    </row>
    <row r="140" spans="1:3" ht="14.25" customHeight="1" x14ac:dyDescent="0.55000000000000004">
      <c r="A140" s="30"/>
      <c r="B140" s="11"/>
      <c r="C140" s="4"/>
    </row>
    <row r="141" spans="1:3" ht="14.25" customHeight="1" x14ac:dyDescent="0.55000000000000004">
      <c r="A141" s="30"/>
      <c r="B141" s="11"/>
      <c r="C141" s="4"/>
    </row>
    <row r="142" spans="1:3" ht="14.25" customHeight="1" x14ac:dyDescent="0.55000000000000004">
      <c r="A142" s="30"/>
      <c r="B142" s="11"/>
      <c r="C142" s="4"/>
    </row>
    <row r="143" spans="1:3" ht="14.25" customHeight="1" x14ac:dyDescent="0.55000000000000004">
      <c r="A143" s="30"/>
      <c r="B143" s="11"/>
      <c r="C143" s="4"/>
    </row>
    <row r="144" spans="1:3" ht="14.25" customHeight="1" x14ac:dyDescent="0.55000000000000004">
      <c r="A144" s="30"/>
      <c r="B144" s="11"/>
      <c r="C144" s="4"/>
    </row>
    <row r="145" spans="1:3" ht="14.25" customHeight="1" x14ac:dyDescent="0.55000000000000004">
      <c r="A145" s="30"/>
      <c r="B145" s="11"/>
      <c r="C145" s="4"/>
    </row>
    <row r="146" spans="1:3" ht="14.25" customHeight="1" x14ac:dyDescent="0.55000000000000004">
      <c r="A146" s="30"/>
      <c r="B146" s="11"/>
      <c r="C146" s="4"/>
    </row>
    <row r="147" spans="1:3" ht="14.25" customHeight="1" x14ac:dyDescent="0.55000000000000004">
      <c r="A147" s="30"/>
      <c r="B147" s="11"/>
      <c r="C147" s="4"/>
    </row>
    <row r="148" spans="1:3" ht="14.25" customHeight="1" x14ac:dyDescent="0.55000000000000004">
      <c r="A148" s="30"/>
      <c r="B148" s="11"/>
      <c r="C148" s="4"/>
    </row>
    <row r="149" spans="1:3" ht="14.25" customHeight="1" x14ac:dyDescent="0.55000000000000004">
      <c r="A149" s="30"/>
      <c r="B149" s="11"/>
      <c r="C149" s="4"/>
    </row>
    <row r="150" spans="1:3" ht="14.25" customHeight="1" x14ac:dyDescent="0.55000000000000004">
      <c r="A150" s="30"/>
      <c r="B150" s="11"/>
      <c r="C150" s="4"/>
    </row>
    <row r="151" spans="1:3" ht="14.25" customHeight="1" x14ac:dyDescent="0.55000000000000004">
      <c r="A151" s="30"/>
      <c r="B151" s="11"/>
      <c r="C151" s="4"/>
    </row>
    <row r="152" spans="1:3" ht="14.25" customHeight="1" x14ac:dyDescent="0.55000000000000004">
      <c r="A152" s="30"/>
      <c r="B152" s="11"/>
      <c r="C152" s="4"/>
    </row>
    <row r="153" spans="1:3" ht="14.25" customHeight="1" x14ac:dyDescent="0.55000000000000004">
      <c r="A153" s="30"/>
      <c r="B153" s="11"/>
      <c r="C153" s="4"/>
    </row>
    <row r="154" spans="1:3" ht="14.25" customHeight="1" x14ac:dyDescent="0.55000000000000004">
      <c r="A154" s="30"/>
      <c r="B154" s="11"/>
      <c r="C154" s="4"/>
    </row>
    <row r="155" spans="1:3" ht="14.25" customHeight="1" x14ac:dyDescent="0.55000000000000004">
      <c r="A155" s="30"/>
      <c r="B155" s="11"/>
      <c r="C155" s="4"/>
    </row>
    <row r="156" spans="1:3" ht="14.25" customHeight="1" x14ac:dyDescent="0.55000000000000004">
      <c r="A156" s="30"/>
      <c r="B156" s="11"/>
      <c r="C156" s="4"/>
    </row>
    <row r="157" spans="1:3" ht="14.25" customHeight="1" x14ac:dyDescent="0.55000000000000004">
      <c r="A157" s="30"/>
      <c r="B157" s="11"/>
      <c r="C157" s="4"/>
    </row>
    <row r="158" spans="1:3" ht="14.25" customHeight="1" x14ac:dyDescent="0.55000000000000004">
      <c r="A158" s="30"/>
      <c r="B158" s="11"/>
      <c r="C158" s="4"/>
    </row>
    <row r="159" spans="1:3" ht="14.25" customHeight="1" x14ac:dyDescent="0.55000000000000004">
      <c r="A159" s="30"/>
      <c r="B159" s="11"/>
      <c r="C159" s="4"/>
    </row>
    <row r="160" spans="1:3" ht="14.25" customHeight="1" x14ac:dyDescent="0.55000000000000004">
      <c r="A160" s="30"/>
      <c r="B160" s="11"/>
      <c r="C160" s="4"/>
    </row>
    <row r="161" spans="1:3" ht="14.25" customHeight="1" x14ac:dyDescent="0.55000000000000004">
      <c r="A161" s="30"/>
      <c r="B161" s="11"/>
      <c r="C161" s="4"/>
    </row>
    <row r="162" spans="1:3" ht="14.25" customHeight="1" x14ac:dyDescent="0.55000000000000004">
      <c r="A162" s="30"/>
      <c r="B162" s="11"/>
      <c r="C162" s="4"/>
    </row>
    <row r="163" spans="1:3" ht="14.25" customHeight="1" x14ac:dyDescent="0.55000000000000004">
      <c r="A163" s="30"/>
      <c r="B163" s="11"/>
      <c r="C163" s="4"/>
    </row>
    <row r="164" spans="1:3" ht="14.25" customHeight="1" x14ac:dyDescent="0.55000000000000004">
      <c r="A164" s="30"/>
      <c r="B164" s="11"/>
      <c r="C164" s="4"/>
    </row>
    <row r="165" spans="1:3" ht="14.25" customHeight="1" x14ac:dyDescent="0.55000000000000004">
      <c r="A165" s="30"/>
      <c r="B165" s="11"/>
      <c r="C165" s="4"/>
    </row>
    <row r="166" spans="1:3" ht="14.25" customHeight="1" x14ac:dyDescent="0.55000000000000004">
      <c r="A166" s="30"/>
      <c r="B166" s="11"/>
      <c r="C166" s="4"/>
    </row>
    <row r="167" spans="1:3" ht="14.25" customHeight="1" x14ac:dyDescent="0.55000000000000004">
      <c r="A167" s="30"/>
      <c r="B167" s="11"/>
      <c r="C167" s="4"/>
    </row>
    <row r="168" spans="1:3" ht="14.25" customHeight="1" x14ac:dyDescent="0.55000000000000004">
      <c r="A168" s="30"/>
      <c r="B168" s="11"/>
      <c r="C168" s="4"/>
    </row>
    <row r="169" spans="1:3" ht="14.25" customHeight="1" x14ac:dyDescent="0.55000000000000004">
      <c r="A169" s="30"/>
      <c r="B169" s="11"/>
      <c r="C169" s="4"/>
    </row>
    <row r="170" spans="1:3" ht="14.25" customHeight="1" x14ac:dyDescent="0.55000000000000004">
      <c r="A170" s="30"/>
      <c r="B170" s="11"/>
      <c r="C170" s="4"/>
    </row>
    <row r="171" spans="1:3" ht="14.25" customHeight="1" x14ac:dyDescent="0.55000000000000004">
      <c r="A171" s="30"/>
      <c r="B171" s="11"/>
      <c r="C171" s="4"/>
    </row>
    <row r="172" spans="1:3" ht="14.25" customHeight="1" x14ac:dyDescent="0.55000000000000004">
      <c r="A172" s="30"/>
      <c r="B172" s="11"/>
      <c r="C172" s="4"/>
    </row>
    <row r="173" spans="1:3" ht="14.25" customHeight="1" x14ac:dyDescent="0.55000000000000004">
      <c r="A173" s="30"/>
      <c r="B173" s="11"/>
      <c r="C173" s="4"/>
    </row>
    <row r="174" spans="1:3" ht="14.25" customHeight="1" x14ac:dyDescent="0.55000000000000004">
      <c r="A174" s="30"/>
      <c r="B174" s="11"/>
      <c r="C174" s="4"/>
    </row>
    <row r="175" spans="1:3" ht="14.25" customHeight="1" x14ac:dyDescent="0.55000000000000004">
      <c r="A175" s="30"/>
      <c r="B175" s="11"/>
      <c r="C175" s="4"/>
    </row>
    <row r="176" spans="1:3" ht="14.25" customHeight="1" x14ac:dyDescent="0.55000000000000004">
      <c r="A176" s="30"/>
      <c r="B176" s="11"/>
      <c r="C176" s="4"/>
    </row>
    <row r="177" spans="1:3" ht="14.25" customHeight="1" x14ac:dyDescent="0.55000000000000004">
      <c r="A177" s="30"/>
      <c r="B177" s="11"/>
      <c r="C177" s="4"/>
    </row>
    <row r="178" spans="1:3" ht="14.25" customHeight="1" x14ac:dyDescent="0.55000000000000004">
      <c r="A178" s="30"/>
      <c r="B178" s="11"/>
      <c r="C178" s="4"/>
    </row>
    <row r="179" spans="1:3" ht="14.25" customHeight="1" x14ac:dyDescent="0.55000000000000004">
      <c r="A179" s="30"/>
      <c r="B179" s="11"/>
      <c r="C179" s="4"/>
    </row>
    <row r="180" spans="1:3" ht="14.25" customHeight="1" x14ac:dyDescent="0.55000000000000004">
      <c r="A180" s="30"/>
      <c r="B180" s="11"/>
      <c r="C180" s="4"/>
    </row>
    <row r="181" spans="1:3" ht="14.25" customHeight="1" x14ac:dyDescent="0.55000000000000004">
      <c r="A181" s="30"/>
      <c r="B181" s="11"/>
      <c r="C181" s="4"/>
    </row>
    <row r="182" spans="1:3" ht="14.25" customHeight="1" x14ac:dyDescent="0.55000000000000004">
      <c r="A182" s="30"/>
      <c r="B182" s="11"/>
      <c r="C182" s="4"/>
    </row>
    <row r="183" spans="1:3" ht="14.25" customHeight="1" x14ac:dyDescent="0.55000000000000004">
      <c r="A183" s="30"/>
      <c r="B183" s="11"/>
      <c r="C183" s="4"/>
    </row>
    <row r="184" spans="1:3" ht="14.25" customHeight="1" x14ac:dyDescent="0.55000000000000004">
      <c r="A184" s="30"/>
      <c r="B184" s="11"/>
      <c r="C184" s="4"/>
    </row>
    <row r="185" spans="1:3" ht="14.25" customHeight="1" x14ac:dyDescent="0.55000000000000004">
      <c r="A185" s="30"/>
      <c r="B185" s="11"/>
      <c r="C185" s="4"/>
    </row>
    <row r="186" spans="1:3" ht="14.25" customHeight="1" x14ac:dyDescent="0.55000000000000004">
      <c r="A186" s="30"/>
      <c r="B186" s="11"/>
      <c r="C186" s="4"/>
    </row>
    <row r="187" spans="1:3" ht="14.25" customHeight="1" x14ac:dyDescent="0.55000000000000004">
      <c r="A187" s="30"/>
      <c r="B187" s="11"/>
      <c r="C187" s="4"/>
    </row>
    <row r="188" spans="1:3" ht="14.25" customHeight="1" x14ac:dyDescent="0.55000000000000004">
      <c r="A188" s="30"/>
      <c r="B188" s="11"/>
      <c r="C188" s="4"/>
    </row>
    <row r="189" spans="1:3" ht="14.25" customHeight="1" x14ac:dyDescent="0.55000000000000004">
      <c r="A189" s="30"/>
      <c r="B189" s="11"/>
      <c r="C189" s="4"/>
    </row>
    <row r="190" spans="1:3" ht="14.25" customHeight="1" x14ac:dyDescent="0.55000000000000004">
      <c r="A190" s="30"/>
      <c r="B190" s="11"/>
      <c r="C190" s="4"/>
    </row>
    <row r="191" spans="1:3" ht="14.25" customHeight="1" x14ac:dyDescent="0.55000000000000004">
      <c r="A191" s="30"/>
      <c r="B191" s="11"/>
      <c r="C191" s="4"/>
    </row>
    <row r="192" spans="1:3" ht="14.25" customHeight="1" x14ac:dyDescent="0.55000000000000004">
      <c r="A192" s="30"/>
      <c r="B192" s="11"/>
      <c r="C192" s="4"/>
    </row>
    <row r="193" spans="1:3" ht="14.25" customHeight="1" x14ac:dyDescent="0.55000000000000004">
      <c r="A193" s="30"/>
      <c r="B193" s="11"/>
      <c r="C193" s="4"/>
    </row>
    <row r="194" spans="1:3" ht="14.25" customHeight="1" x14ac:dyDescent="0.55000000000000004">
      <c r="A194" s="30"/>
      <c r="B194" s="11"/>
      <c r="C194" s="4"/>
    </row>
    <row r="195" spans="1:3" ht="14.25" customHeight="1" x14ac:dyDescent="0.55000000000000004">
      <c r="A195" s="30"/>
      <c r="B195" s="11"/>
      <c r="C195" s="4"/>
    </row>
    <row r="196" spans="1:3" ht="14.25" customHeight="1" x14ac:dyDescent="0.55000000000000004">
      <c r="A196" s="30"/>
      <c r="B196" s="11"/>
      <c r="C196" s="4"/>
    </row>
    <row r="197" spans="1:3" ht="14.25" customHeight="1" x14ac:dyDescent="0.55000000000000004">
      <c r="A197" s="30"/>
      <c r="B197" s="11"/>
      <c r="C197" s="4"/>
    </row>
    <row r="198" spans="1:3" ht="14.25" customHeight="1" x14ac:dyDescent="0.55000000000000004">
      <c r="A198" s="30"/>
      <c r="B198" s="11"/>
      <c r="C198" s="4"/>
    </row>
    <row r="199" spans="1:3" ht="14.25" customHeight="1" x14ac:dyDescent="0.55000000000000004">
      <c r="A199" s="30"/>
      <c r="B199" s="11"/>
      <c r="C199" s="4"/>
    </row>
    <row r="200" spans="1:3" ht="14.25" customHeight="1" x14ac:dyDescent="0.55000000000000004">
      <c r="A200" s="30"/>
      <c r="B200" s="11"/>
      <c r="C200" s="4"/>
    </row>
    <row r="201" spans="1:3" ht="14.25" customHeight="1" x14ac:dyDescent="0.55000000000000004">
      <c r="A201" s="30"/>
      <c r="B201" s="11"/>
      <c r="C201" s="4"/>
    </row>
    <row r="202" spans="1:3" ht="14.25" customHeight="1" x14ac:dyDescent="0.55000000000000004">
      <c r="A202" s="30"/>
      <c r="B202" s="11"/>
      <c r="C202" s="4"/>
    </row>
    <row r="203" spans="1:3" ht="14.25" customHeight="1" x14ac:dyDescent="0.55000000000000004">
      <c r="A203" s="30"/>
      <c r="B203" s="11"/>
      <c r="C203" s="4"/>
    </row>
    <row r="204" spans="1:3" ht="14.25" customHeight="1" x14ac:dyDescent="0.55000000000000004">
      <c r="A204" s="30"/>
      <c r="B204" s="11"/>
      <c r="C204" s="4"/>
    </row>
    <row r="205" spans="1:3" ht="14.25" customHeight="1" x14ac:dyDescent="0.55000000000000004">
      <c r="A205" s="30"/>
      <c r="B205" s="11"/>
      <c r="C205" s="4"/>
    </row>
    <row r="206" spans="1:3" ht="14.25" customHeight="1" x14ac:dyDescent="0.55000000000000004">
      <c r="A206" s="30"/>
      <c r="B206" s="11"/>
      <c r="C206" s="4"/>
    </row>
    <row r="207" spans="1:3" ht="14.25" customHeight="1" x14ac:dyDescent="0.55000000000000004">
      <c r="A207" s="30"/>
      <c r="B207" s="11"/>
      <c r="C207" s="4"/>
    </row>
    <row r="208" spans="1:3" ht="14.25" customHeight="1" x14ac:dyDescent="0.55000000000000004">
      <c r="A208" s="30"/>
      <c r="B208" s="11"/>
      <c r="C208" s="4"/>
    </row>
    <row r="209" spans="1:3" ht="14.25" customHeight="1" x14ac:dyDescent="0.55000000000000004">
      <c r="A209" s="30"/>
      <c r="B209" s="11"/>
      <c r="C209" s="4"/>
    </row>
    <row r="210" spans="1:3" ht="14.25" customHeight="1" x14ac:dyDescent="0.55000000000000004">
      <c r="A210" s="30"/>
      <c r="B210" s="11"/>
      <c r="C210" s="4"/>
    </row>
    <row r="211" spans="1:3" ht="14.25" customHeight="1" x14ac:dyDescent="0.55000000000000004">
      <c r="A211" s="30"/>
      <c r="B211" s="11"/>
      <c r="C211" s="4"/>
    </row>
    <row r="212" spans="1:3" ht="14.25" customHeight="1" x14ac:dyDescent="0.55000000000000004">
      <c r="A212" s="30"/>
      <c r="B212" s="11"/>
      <c r="C212" s="4"/>
    </row>
    <row r="213" spans="1:3" ht="14.25" customHeight="1" x14ac:dyDescent="0.55000000000000004">
      <c r="A213" s="30"/>
      <c r="B213" s="11"/>
      <c r="C213" s="4"/>
    </row>
    <row r="214" spans="1:3" ht="14.25" customHeight="1" x14ac:dyDescent="0.55000000000000004">
      <c r="A214" s="30"/>
      <c r="B214" s="11"/>
      <c r="C214" s="4"/>
    </row>
    <row r="215" spans="1:3" ht="14.25" customHeight="1" x14ac:dyDescent="0.55000000000000004">
      <c r="A215" s="30"/>
      <c r="B215" s="11"/>
      <c r="C215" s="4"/>
    </row>
    <row r="216" spans="1:3" ht="14.25" customHeight="1" x14ac:dyDescent="0.55000000000000004">
      <c r="A216" s="30"/>
      <c r="B216" s="11"/>
      <c r="C216" s="4"/>
    </row>
    <row r="217" spans="1:3" ht="14.25" customHeight="1" x14ac:dyDescent="0.55000000000000004">
      <c r="A217" s="30"/>
      <c r="B217" s="11"/>
      <c r="C217" s="4"/>
    </row>
    <row r="218" spans="1:3" ht="14.25" customHeight="1" x14ac:dyDescent="0.55000000000000004">
      <c r="A218" s="30"/>
      <c r="B218" s="11"/>
      <c r="C218" s="4"/>
    </row>
    <row r="219" spans="1:3" ht="14.25" customHeight="1" x14ac:dyDescent="0.55000000000000004">
      <c r="A219" s="30"/>
      <c r="B219" s="11"/>
      <c r="C219" s="4"/>
    </row>
    <row r="220" spans="1:3" ht="14.25" customHeight="1" x14ac:dyDescent="0.55000000000000004">
      <c r="A220" s="30"/>
      <c r="B220" s="11"/>
      <c r="C220" s="4"/>
    </row>
    <row r="221" spans="1:3" ht="14.25" customHeight="1" x14ac:dyDescent="0.55000000000000004">
      <c r="A221" s="30"/>
      <c r="B221" s="11"/>
      <c r="C221" s="4"/>
    </row>
    <row r="222" spans="1:3" ht="14.25" customHeight="1" x14ac:dyDescent="0.55000000000000004">
      <c r="A222" s="30"/>
      <c r="B222" s="11"/>
      <c r="C222" s="4"/>
    </row>
    <row r="223" spans="1:3" ht="14.25" customHeight="1" x14ac:dyDescent="0.55000000000000004">
      <c r="A223" s="30"/>
      <c r="B223" s="11"/>
      <c r="C223" s="4"/>
    </row>
    <row r="224" spans="1:3" ht="14.25" customHeight="1" x14ac:dyDescent="0.55000000000000004">
      <c r="A224" s="30"/>
      <c r="B224" s="11"/>
      <c r="C224" s="4"/>
    </row>
    <row r="225" spans="1:3" ht="14.25" customHeight="1" x14ac:dyDescent="0.55000000000000004">
      <c r="A225" s="30"/>
      <c r="B225" s="11"/>
      <c r="C225" s="4"/>
    </row>
    <row r="226" spans="1:3" ht="14.25" customHeight="1" x14ac:dyDescent="0.55000000000000004">
      <c r="A226" s="30"/>
      <c r="B226" s="11"/>
      <c r="C226" s="4"/>
    </row>
    <row r="227" spans="1:3" ht="14.25" customHeight="1" x14ac:dyDescent="0.55000000000000004">
      <c r="A227" s="30"/>
      <c r="B227" s="11"/>
      <c r="C227" s="4"/>
    </row>
    <row r="228" spans="1:3" ht="14.25" customHeight="1" x14ac:dyDescent="0.55000000000000004">
      <c r="A228" s="30"/>
      <c r="B228" s="11"/>
      <c r="C228" s="4"/>
    </row>
    <row r="229" spans="1:3" ht="14.25" customHeight="1" x14ac:dyDescent="0.55000000000000004">
      <c r="A229" s="30"/>
      <c r="B229" s="11"/>
      <c r="C229" s="4"/>
    </row>
    <row r="230" spans="1:3" ht="14.25" customHeight="1" x14ac:dyDescent="0.55000000000000004">
      <c r="A230" s="30"/>
      <c r="B230" s="11"/>
      <c r="C230" s="4"/>
    </row>
    <row r="231" spans="1:3" ht="14.25" customHeight="1" x14ac:dyDescent="0.55000000000000004">
      <c r="A231" s="30"/>
      <c r="B231" s="11"/>
      <c r="C231" s="4"/>
    </row>
    <row r="232" spans="1:3" ht="14.25" customHeight="1" x14ac:dyDescent="0.55000000000000004">
      <c r="A232" s="30"/>
      <c r="B232" s="11"/>
      <c r="C232" s="4"/>
    </row>
    <row r="233" spans="1:3" ht="14.25" customHeight="1" x14ac:dyDescent="0.55000000000000004">
      <c r="A233" s="30"/>
      <c r="B233" s="11"/>
      <c r="C233" s="4"/>
    </row>
    <row r="234" spans="1:3" ht="14.25" customHeight="1" x14ac:dyDescent="0.55000000000000004">
      <c r="A234" s="30"/>
      <c r="B234" s="11"/>
      <c r="C234" s="4"/>
    </row>
    <row r="235" spans="1:3" ht="14.25" customHeight="1" x14ac:dyDescent="0.55000000000000004">
      <c r="A235" s="30"/>
      <c r="B235" s="11"/>
      <c r="C235" s="4"/>
    </row>
    <row r="236" spans="1:3" ht="14.25" customHeight="1" x14ac:dyDescent="0.55000000000000004">
      <c r="A236" s="30"/>
      <c r="B236" s="11"/>
      <c r="C236" s="4"/>
    </row>
    <row r="237" spans="1:3" ht="14.25" customHeight="1" x14ac:dyDescent="0.55000000000000004">
      <c r="A237" s="30"/>
      <c r="B237" s="11"/>
      <c r="C237" s="4"/>
    </row>
    <row r="238" spans="1:3" ht="14.25" customHeight="1" x14ac:dyDescent="0.55000000000000004">
      <c r="A238" s="30"/>
      <c r="B238" s="11"/>
      <c r="C238" s="4"/>
    </row>
    <row r="239" spans="1:3" ht="14.25" customHeight="1" x14ac:dyDescent="0.55000000000000004">
      <c r="A239" s="30"/>
      <c r="B239" s="11"/>
      <c r="C239" s="4"/>
    </row>
    <row r="240" spans="1:3" ht="14.25" customHeight="1" x14ac:dyDescent="0.55000000000000004">
      <c r="A240" s="30"/>
      <c r="B240" s="11"/>
      <c r="C240" s="4"/>
    </row>
    <row r="241" spans="1:3" ht="14.25" customHeight="1" x14ac:dyDescent="0.55000000000000004">
      <c r="A241" s="30"/>
      <c r="B241" s="11"/>
      <c r="C241" s="4"/>
    </row>
    <row r="242" spans="1:3" ht="14.25" customHeight="1" x14ac:dyDescent="0.55000000000000004">
      <c r="A242" s="30"/>
      <c r="B242" s="11"/>
      <c r="C242" s="4"/>
    </row>
    <row r="243" spans="1:3" ht="14.25" customHeight="1" x14ac:dyDescent="0.55000000000000004">
      <c r="A243" s="30"/>
      <c r="B243" s="11"/>
      <c r="C243" s="4"/>
    </row>
    <row r="244" spans="1:3" ht="14.25" customHeight="1" x14ac:dyDescent="0.55000000000000004">
      <c r="A244" s="30"/>
      <c r="B244" s="11"/>
      <c r="C244" s="4"/>
    </row>
    <row r="245" spans="1:3" ht="14.25" customHeight="1" x14ac:dyDescent="0.55000000000000004">
      <c r="A245" s="30"/>
      <c r="B245" s="11"/>
      <c r="C245" s="4"/>
    </row>
    <row r="246" spans="1:3" ht="14.25" customHeight="1" x14ac:dyDescent="0.55000000000000004">
      <c r="A246" s="30"/>
      <c r="B246" s="11"/>
      <c r="C246" s="4"/>
    </row>
    <row r="247" spans="1:3" ht="14.25" customHeight="1" x14ac:dyDescent="0.55000000000000004">
      <c r="A247" s="30"/>
      <c r="B247" s="11"/>
      <c r="C247" s="4"/>
    </row>
    <row r="248" spans="1:3" ht="14.25" customHeight="1" x14ac:dyDescent="0.55000000000000004">
      <c r="A248" s="30"/>
      <c r="B248" s="11"/>
      <c r="C248" s="4"/>
    </row>
    <row r="249" spans="1:3" ht="14.25" customHeight="1" x14ac:dyDescent="0.55000000000000004">
      <c r="A249" s="30"/>
      <c r="B249" s="11"/>
      <c r="C249" s="4"/>
    </row>
    <row r="250" spans="1:3" ht="14.25" customHeight="1" x14ac:dyDescent="0.55000000000000004">
      <c r="A250" s="30"/>
      <c r="B250" s="11"/>
      <c r="C250" s="4"/>
    </row>
    <row r="251" spans="1:3" ht="14.25" customHeight="1" x14ac:dyDescent="0.55000000000000004">
      <c r="A251" s="30"/>
      <c r="B251" s="11"/>
      <c r="C251" s="4"/>
    </row>
    <row r="252" spans="1:3" ht="14.25" customHeight="1" x14ac:dyDescent="0.55000000000000004">
      <c r="A252" s="30"/>
      <c r="B252" s="11"/>
      <c r="C252" s="4"/>
    </row>
    <row r="253" spans="1:3" ht="14.25" customHeight="1" x14ac:dyDescent="0.55000000000000004">
      <c r="A253" s="30"/>
      <c r="B253" s="11"/>
      <c r="C253" s="4"/>
    </row>
    <row r="254" spans="1:3" ht="14.25" customHeight="1" x14ac:dyDescent="0.55000000000000004">
      <c r="A254" s="30"/>
      <c r="B254" s="11"/>
      <c r="C254" s="4"/>
    </row>
    <row r="255" spans="1:3" ht="14.25" customHeight="1" x14ac:dyDescent="0.55000000000000004">
      <c r="A255" s="30"/>
      <c r="B255" s="11"/>
      <c r="C255" s="4"/>
    </row>
    <row r="256" spans="1:3" ht="14.25" customHeight="1" x14ac:dyDescent="0.55000000000000004">
      <c r="A256" s="30"/>
      <c r="B256" s="11"/>
      <c r="C256" s="4"/>
    </row>
    <row r="257" spans="1:3" ht="14.25" customHeight="1" x14ac:dyDescent="0.55000000000000004">
      <c r="A257" s="30"/>
      <c r="B257" s="11"/>
      <c r="C257" s="4"/>
    </row>
    <row r="258" spans="1:3" ht="14.25" customHeight="1" x14ac:dyDescent="0.55000000000000004">
      <c r="A258" s="30"/>
      <c r="B258" s="11"/>
      <c r="C258" s="4"/>
    </row>
    <row r="259" spans="1:3" ht="14.25" customHeight="1" x14ac:dyDescent="0.55000000000000004">
      <c r="A259" s="30"/>
      <c r="B259" s="11"/>
      <c r="C259" s="4"/>
    </row>
    <row r="260" spans="1:3" ht="14.25" customHeight="1" x14ac:dyDescent="0.55000000000000004">
      <c r="A260" s="30"/>
      <c r="B260" s="11"/>
      <c r="C260" s="4"/>
    </row>
    <row r="261" spans="1:3" ht="14.25" customHeight="1" x14ac:dyDescent="0.55000000000000004">
      <c r="A261" s="30"/>
      <c r="B261" s="11"/>
      <c r="C261" s="4"/>
    </row>
    <row r="262" spans="1:3" ht="14.25" customHeight="1" x14ac:dyDescent="0.55000000000000004">
      <c r="A262" s="30"/>
      <c r="B262" s="11"/>
      <c r="C262" s="4"/>
    </row>
    <row r="263" spans="1:3" ht="14.25" customHeight="1" x14ac:dyDescent="0.55000000000000004">
      <c r="A263" s="30"/>
      <c r="B263" s="11"/>
      <c r="C263" s="4"/>
    </row>
    <row r="264" spans="1:3" ht="14.25" customHeight="1" x14ac:dyDescent="0.55000000000000004">
      <c r="A264" s="30"/>
      <c r="B264" s="11"/>
      <c r="C264" s="4"/>
    </row>
    <row r="265" spans="1:3" ht="14.25" customHeight="1" x14ac:dyDescent="0.55000000000000004">
      <c r="A265" s="30"/>
      <c r="B265" s="11"/>
      <c r="C265" s="4"/>
    </row>
    <row r="266" spans="1:3" ht="14.25" customHeight="1" x14ac:dyDescent="0.55000000000000004">
      <c r="A266" s="30"/>
      <c r="B266" s="11"/>
      <c r="C266" s="4"/>
    </row>
    <row r="267" spans="1:3" ht="14.25" customHeight="1" x14ac:dyDescent="0.55000000000000004">
      <c r="A267" s="30"/>
      <c r="B267" s="11"/>
      <c r="C267" s="4"/>
    </row>
    <row r="268" spans="1:3" ht="14.25" customHeight="1" x14ac:dyDescent="0.55000000000000004">
      <c r="A268" s="30"/>
      <c r="B268" s="11"/>
      <c r="C268" s="4"/>
    </row>
    <row r="269" spans="1:3" ht="14.25" customHeight="1" x14ac:dyDescent="0.55000000000000004">
      <c r="A269" s="30"/>
      <c r="B269" s="11"/>
      <c r="C269" s="4"/>
    </row>
    <row r="270" spans="1:3" ht="14.25" customHeight="1" x14ac:dyDescent="0.55000000000000004">
      <c r="A270" s="30"/>
      <c r="B270" s="11"/>
      <c r="C270" s="4"/>
    </row>
    <row r="271" spans="1:3" ht="14.25" customHeight="1" x14ac:dyDescent="0.55000000000000004">
      <c r="A271" s="30"/>
      <c r="B271" s="11"/>
      <c r="C271" s="4"/>
    </row>
    <row r="272" spans="1:3" ht="14.25" customHeight="1" x14ac:dyDescent="0.55000000000000004">
      <c r="A272" s="30"/>
      <c r="B272" s="11"/>
      <c r="C272" s="4"/>
    </row>
    <row r="273" spans="1:3" ht="14.25" customHeight="1" x14ac:dyDescent="0.55000000000000004">
      <c r="A273" s="30"/>
      <c r="B273" s="11"/>
      <c r="C273" s="4"/>
    </row>
    <row r="274" spans="1:3" ht="14.25" customHeight="1" x14ac:dyDescent="0.55000000000000004">
      <c r="A274" s="30"/>
      <c r="B274" s="11"/>
      <c r="C274" s="4"/>
    </row>
    <row r="275" spans="1:3" ht="14.25" customHeight="1" x14ac:dyDescent="0.55000000000000004">
      <c r="A275" s="30"/>
      <c r="B275" s="11"/>
      <c r="C275" s="4"/>
    </row>
    <row r="276" spans="1:3" ht="14.25" customHeight="1" x14ac:dyDescent="0.55000000000000004">
      <c r="A276" s="30"/>
      <c r="B276" s="11"/>
      <c r="C276" s="4"/>
    </row>
    <row r="277" spans="1:3" ht="14.25" customHeight="1" x14ac:dyDescent="0.55000000000000004">
      <c r="A277" s="30"/>
      <c r="B277" s="11"/>
      <c r="C277" s="4"/>
    </row>
    <row r="278" spans="1:3" ht="14.25" customHeight="1" x14ac:dyDescent="0.55000000000000004">
      <c r="A278" s="30"/>
      <c r="B278" s="11"/>
      <c r="C278" s="4"/>
    </row>
    <row r="279" spans="1:3" ht="14.25" customHeight="1" x14ac:dyDescent="0.55000000000000004">
      <c r="A279" s="30"/>
      <c r="B279" s="11"/>
      <c r="C279" s="4"/>
    </row>
    <row r="280" spans="1:3" ht="14.25" customHeight="1" x14ac:dyDescent="0.55000000000000004">
      <c r="A280" s="30"/>
      <c r="B280" s="11"/>
      <c r="C280" s="4"/>
    </row>
    <row r="281" spans="1:3" ht="14.25" customHeight="1" x14ac:dyDescent="0.55000000000000004">
      <c r="A281" s="30"/>
      <c r="B281" s="11"/>
      <c r="C281" s="4"/>
    </row>
    <row r="282" spans="1:3" ht="14.25" customHeight="1" x14ac:dyDescent="0.55000000000000004">
      <c r="A282" s="30"/>
      <c r="B282" s="11"/>
      <c r="C282" s="4"/>
    </row>
    <row r="283" spans="1:3" ht="14.25" customHeight="1" x14ac:dyDescent="0.55000000000000004">
      <c r="A283" s="30"/>
      <c r="B283" s="11"/>
      <c r="C283" s="4"/>
    </row>
    <row r="284" spans="1:3" ht="14.25" customHeight="1" x14ac:dyDescent="0.55000000000000004">
      <c r="A284" s="30"/>
      <c r="B284" s="11"/>
      <c r="C284" s="4"/>
    </row>
    <row r="285" spans="1:3" ht="14.25" customHeight="1" x14ac:dyDescent="0.55000000000000004">
      <c r="A285" s="30"/>
      <c r="B285" s="11"/>
      <c r="C285" s="4"/>
    </row>
    <row r="286" spans="1:3" ht="14.25" customHeight="1" x14ac:dyDescent="0.55000000000000004">
      <c r="A286" s="30"/>
      <c r="B286" s="11"/>
      <c r="C286" s="4"/>
    </row>
    <row r="287" spans="1:3" ht="14.25" customHeight="1" x14ac:dyDescent="0.55000000000000004">
      <c r="A287" s="30"/>
      <c r="B287" s="11"/>
      <c r="C287" s="4"/>
    </row>
    <row r="288" spans="1:3" ht="14.25" customHeight="1" x14ac:dyDescent="0.55000000000000004">
      <c r="A288" s="30"/>
      <c r="B288" s="11"/>
      <c r="C288" s="4"/>
    </row>
    <row r="289" spans="1:3" ht="14.25" customHeight="1" x14ac:dyDescent="0.55000000000000004">
      <c r="A289" s="30"/>
      <c r="B289" s="11"/>
      <c r="C289" s="4"/>
    </row>
    <row r="290" spans="1:3" ht="14.25" customHeight="1" x14ac:dyDescent="0.55000000000000004">
      <c r="A290" s="30"/>
      <c r="B290" s="11"/>
      <c r="C290" s="4"/>
    </row>
    <row r="291" spans="1:3" ht="14.25" customHeight="1" x14ac:dyDescent="0.55000000000000004">
      <c r="A291" s="30"/>
      <c r="B291" s="11"/>
      <c r="C291" s="4"/>
    </row>
    <row r="292" spans="1:3" ht="14.25" customHeight="1" x14ac:dyDescent="0.55000000000000004">
      <c r="A292" s="30"/>
      <c r="B292" s="11"/>
      <c r="C292" s="4"/>
    </row>
    <row r="293" spans="1:3" ht="14.25" customHeight="1" x14ac:dyDescent="0.55000000000000004">
      <c r="A293" s="30"/>
      <c r="B293" s="11"/>
      <c r="C293" s="4"/>
    </row>
    <row r="294" spans="1:3" ht="14.25" customHeight="1" x14ac:dyDescent="0.55000000000000004">
      <c r="A294" s="30"/>
      <c r="B294" s="11"/>
      <c r="C294" s="4"/>
    </row>
    <row r="295" spans="1:3" ht="14.25" customHeight="1" x14ac:dyDescent="0.55000000000000004">
      <c r="A295" s="30"/>
      <c r="B295" s="11"/>
      <c r="C295" s="4"/>
    </row>
    <row r="296" spans="1:3" ht="14.25" customHeight="1" x14ac:dyDescent="0.55000000000000004">
      <c r="A296" s="30"/>
      <c r="B296" s="11"/>
      <c r="C296" s="4"/>
    </row>
    <row r="297" spans="1:3" ht="14.25" customHeight="1" x14ac:dyDescent="0.55000000000000004">
      <c r="A297" s="30"/>
      <c r="B297" s="11"/>
      <c r="C297" s="4"/>
    </row>
    <row r="298" spans="1:3" ht="14.25" customHeight="1" x14ac:dyDescent="0.55000000000000004">
      <c r="A298" s="30"/>
      <c r="B298" s="11"/>
      <c r="C298" s="4"/>
    </row>
    <row r="299" spans="1:3" ht="14.25" customHeight="1" x14ac:dyDescent="0.55000000000000004">
      <c r="A299" s="30"/>
      <c r="B299" s="11"/>
      <c r="C299" s="4"/>
    </row>
    <row r="300" spans="1:3" ht="14.25" customHeight="1" x14ac:dyDescent="0.55000000000000004">
      <c r="A300" s="30"/>
      <c r="B300" s="11"/>
      <c r="C300" s="4"/>
    </row>
    <row r="301" spans="1:3" ht="14.25" customHeight="1" x14ac:dyDescent="0.55000000000000004">
      <c r="A301" s="30"/>
      <c r="B301" s="11"/>
      <c r="C301" s="4"/>
    </row>
    <row r="302" spans="1:3" ht="14.25" customHeight="1" x14ac:dyDescent="0.55000000000000004">
      <c r="A302" s="30"/>
      <c r="B302" s="11"/>
      <c r="C302" s="4"/>
    </row>
    <row r="303" spans="1:3" ht="14.25" customHeight="1" x14ac:dyDescent="0.55000000000000004">
      <c r="A303" s="30"/>
      <c r="B303" s="11"/>
      <c r="C303" s="4"/>
    </row>
    <row r="304" spans="1:3" ht="14.25" customHeight="1" x14ac:dyDescent="0.55000000000000004">
      <c r="A304" s="30"/>
      <c r="B304" s="11"/>
      <c r="C304" s="4"/>
    </row>
    <row r="305" spans="1:3" ht="14.25" customHeight="1" x14ac:dyDescent="0.55000000000000004">
      <c r="A305" s="30"/>
      <c r="B305" s="11"/>
      <c r="C305" s="4"/>
    </row>
    <row r="306" spans="1:3" ht="14.25" customHeight="1" x14ac:dyDescent="0.55000000000000004">
      <c r="A306" s="30"/>
      <c r="B306" s="11"/>
      <c r="C306" s="4"/>
    </row>
    <row r="307" spans="1:3" ht="14.25" customHeight="1" x14ac:dyDescent="0.55000000000000004">
      <c r="A307" s="30"/>
      <c r="B307" s="11"/>
      <c r="C307" s="4"/>
    </row>
    <row r="308" spans="1:3" ht="14.25" customHeight="1" x14ac:dyDescent="0.55000000000000004">
      <c r="A308" s="30"/>
      <c r="B308" s="11"/>
      <c r="C308" s="4"/>
    </row>
    <row r="309" spans="1:3" ht="14.25" customHeight="1" x14ac:dyDescent="0.55000000000000004">
      <c r="A309" s="30"/>
      <c r="B309" s="11"/>
      <c r="C309" s="4"/>
    </row>
    <row r="310" spans="1:3" ht="14.25" customHeight="1" x14ac:dyDescent="0.55000000000000004">
      <c r="A310" s="30"/>
      <c r="B310" s="11"/>
      <c r="C310" s="4"/>
    </row>
    <row r="311" spans="1:3" ht="14.25" customHeight="1" x14ac:dyDescent="0.55000000000000004">
      <c r="A311" s="30"/>
      <c r="B311" s="11"/>
      <c r="C311" s="4"/>
    </row>
    <row r="312" spans="1:3" ht="14.25" customHeight="1" x14ac:dyDescent="0.55000000000000004">
      <c r="A312" s="30"/>
      <c r="B312" s="11"/>
      <c r="C312" s="4"/>
    </row>
    <row r="313" spans="1:3" ht="14.25" customHeight="1" x14ac:dyDescent="0.55000000000000004">
      <c r="A313" s="30"/>
      <c r="B313" s="11"/>
      <c r="C313" s="4"/>
    </row>
    <row r="314" spans="1:3" ht="14.25" customHeight="1" x14ac:dyDescent="0.55000000000000004">
      <c r="A314" s="30"/>
      <c r="B314" s="11"/>
      <c r="C314" s="4"/>
    </row>
    <row r="315" spans="1:3" ht="14.25" customHeight="1" x14ac:dyDescent="0.55000000000000004">
      <c r="A315" s="30"/>
      <c r="B315" s="11"/>
      <c r="C315" s="4"/>
    </row>
    <row r="316" spans="1:3" ht="14.25" customHeight="1" x14ac:dyDescent="0.55000000000000004">
      <c r="A316" s="30"/>
      <c r="B316" s="11"/>
      <c r="C316" s="4"/>
    </row>
    <row r="317" spans="1:3" ht="14.25" customHeight="1" x14ac:dyDescent="0.55000000000000004">
      <c r="A317" s="30"/>
      <c r="B317" s="11"/>
      <c r="C317" s="4"/>
    </row>
    <row r="318" spans="1:3" ht="14.25" customHeight="1" x14ac:dyDescent="0.55000000000000004">
      <c r="A318" s="30"/>
      <c r="B318" s="11"/>
      <c r="C318" s="4"/>
    </row>
    <row r="319" spans="1:3" ht="14.25" customHeight="1" x14ac:dyDescent="0.55000000000000004">
      <c r="A319" s="30"/>
      <c r="B319" s="11"/>
      <c r="C319" s="4"/>
    </row>
    <row r="320" spans="1:3" ht="14.25" customHeight="1" x14ac:dyDescent="0.55000000000000004">
      <c r="A320" s="30"/>
      <c r="B320" s="11"/>
      <c r="C320" s="4"/>
    </row>
    <row r="321" spans="1:3" ht="14.25" customHeight="1" x14ac:dyDescent="0.55000000000000004">
      <c r="A321" s="30"/>
      <c r="B321" s="11"/>
      <c r="C321" s="4"/>
    </row>
    <row r="322" spans="1:3" ht="14.25" customHeight="1" x14ac:dyDescent="0.55000000000000004">
      <c r="A322" s="30"/>
      <c r="B322" s="11"/>
      <c r="C322" s="4"/>
    </row>
    <row r="323" spans="1:3" ht="14.25" customHeight="1" x14ac:dyDescent="0.55000000000000004">
      <c r="A323" s="30"/>
      <c r="B323" s="11"/>
      <c r="C323" s="4"/>
    </row>
    <row r="324" spans="1:3" ht="14.25" customHeight="1" x14ac:dyDescent="0.55000000000000004">
      <c r="A324" s="30"/>
      <c r="B324" s="11"/>
      <c r="C324" s="4"/>
    </row>
    <row r="325" spans="1:3" ht="14.25" customHeight="1" x14ac:dyDescent="0.55000000000000004">
      <c r="A325" s="30"/>
      <c r="B325" s="11"/>
      <c r="C325" s="4"/>
    </row>
    <row r="326" spans="1:3" ht="14.25" customHeight="1" x14ac:dyDescent="0.55000000000000004">
      <c r="A326" s="30"/>
      <c r="B326" s="11"/>
      <c r="C326" s="4"/>
    </row>
    <row r="327" spans="1:3" ht="14.25" customHeight="1" x14ac:dyDescent="0.55000000000000004">
      <c r="A327" s="30"/>
      <c r="B327" s="11"/>
      <c r="C327" s="4"/>
    </row>
    <row r="328" spans="1:3" ht="14.25" customHeight="1" x14ac:dyDescent="0.55000000000000004">
      <c r="A328" s="30"/>
      <c r="B328" s="11"/>
      <c r="C328" s="4"/>
    </row>
    <row r="329" spans="1:3" ht="14.25" customHeight="1" x14ac:dyDescent="0.55000000000000004">
      <c r="A329" s="30"/>
      <c r="B329" s="11"/>
      <c r="C329" s="4"/>
    </row>
    <row r="330" spans="1:3" ht="14.25" customHeight="1" x14ac:dyDescent="0.55000000000000004">
      <c r="A330" s="30"/>
      <c r="B330" s="11"/>
      <c r="C330" s="4"/>
    </row>
    <row r="331" spans="1:3" ht="14.25" customHeight="1" x14ac:dyDescent="0.55000000000000004">
      <c r="A331" s="30"/>
      <c r="B331" s="11"/>
      <c r="C331" s="4"/>
    </row>
    <row r="332" spans="1:3" ht="14.25" customHeight="1" x14ac:dyDescent="0.55000000000000004">
      <c r="A332" s="30"/>
      <c r="B332" s="11"/>
      <c r="C332" s="4"/>
    </row>
    <row r="333" spans="1:3" ht="14.25" customHeight="1" x14ac:dyDescent="0.55000000000000004">
      <c r="A333" s="30"/>
      <c r="B333" s="11"/>
      <c r="C333" s="4"/>
    </row>
    <row r="334" spans="1:3" ht="14.25" customHeight="1" x14ac:dyDescent="0.55000000000000004">
      <c r="A334" s="30"/>
      <c r="B334" s="11"/>
      <c r="C334" s="4"/>
    </row>
    <row r="335" spans="1:3" ht="14.25" customHeight="1" x14ac:dyDescent="0.55000000000000004">
      <c r="A335" s="30"/>
      <c r="B335" s="11"/>
      <c r="C335" s="4"/>
    </row>
    <row r="336" spans="1:3" ht="14.25" customHeight="1" x14ac:dyDescent="0.55000000000000004">
      <c r="A336" s="30"/>
      <c r="B336" s="11"/>
      <c r="C336" s="4"/>
    </row>
    <row r="337" spans="1:3" ht="14.25" customHeight="1" x14ac:dyDescent="0.55000000000000004">
      <c r="A337" s="30"/>
      <c r="B337" s="11"/>
      <c r="C337" s="4"/>
    </row>
    <row r="338" spans="1:3" ht="14.25" customHeight="1" x14ac:dyDescent="0.55000000000000004">
      <c r="A338" s="30"/>
      <c r="B338" s="11"/>
      <c r="C338" s="4"/>
    </row>
    <row r="339" spans="1:3" ht="14.25" customHeight="1" x14ac:dyDescent="0.55000000000000004">
      <c r="A339" s="30"/>
      <c r="B339" s="11"/>
      <c r="C339" s="4"/>
    </row>
    <row r="340" spans="1:3" ht="14.25" customHeight="1" x14ac:dyDescent="0.55000000000000004">
      <c r="A340" s="30"/>
      <c r="B340" s="11"/>
      <c r="C340" s="4"/>
    </row>
    <row r="341" spans="1:3" ht="14.25" customHeight="1" x14ac:dyDescent="0.55000000000000004">
      <c r="A341" s="30"/>
      <c r="B341" s="11"/>
      <c r="C341" s="4"/>
    </row>
    <row r="342" spans="1:3" ht="14.25" customHeight="1" x14ac:dyDescent="0.55000000000000004">
      <c r="A342" s="30"/>
      <c r="B342" s="11"/>
      <c r="C342" s="4"/>
    </row>
    <row r="343" spans="1:3" ht="14.25" customHeight="1" x14ac:dyDescent="0.55000000000000004">
      <c r="A343" s="30"/>
      <c r="B343" s="11"/>
      <c r="C343" s="4"/>
    </row>
    <row r="344" spans="1:3" ht="14.25" customHeight="1" x14ac:dyDescent="0.55000000000000004">
      <c r="A344" s="30"/>
      <c r="B344" s="11"/>
      <c r="C344" s="4"/>
    </row>
    <row r="345" spans="1:3" ht="14.25" customHeight="1" x14ac:dyDescent="0.55000000000000004">
      <c r="A345" s="30"/>
      <c r="B345" s="11"/>
      <c r="C345" s="4"/>
    </row>
    <row r="346" spans="1:3" ht="14.25" customHeight="1" x14ac:dyDescent="0.55000000000000004">
      <c r="A346" s="30"/>
      <c r="B346" s="11"/>
      <c r="C346" s="4"/>
    </row>
    <row r="347" spans="1:3" ht="14.25" customHeight="1" x14ac:dyDescent="0.55000000000000004">
      <c r="A347" s="30"/>
      <c r="B347" s="11"/>
      <c r="C347" s="4"/>
    </row>
    <row r="348" spans="1:3" ht="14.25" customHeight="1" x14ac:dyDescent="0.55000000000000004">
      <c r="A348" s="30"/>
      <c r="B348" s="11"/>
      <c r="C348" s="4"/>
    </row>
    <row r="349" spans="1:3" ht="14.25" customHeight="1" x14ac:dyDescent="0.55000000000000004">
      <c r="A349" s="30"/>
      <c r="B349" s="11"/>
      <c r="C349" s="4"/>
    </row>
    <row r="350" spans="1:3" ht="14.25" customHeight="1" x14ac:dyDescent="0.55000000000000004">
      <c r="A350" s="30"/>
      <c r="B350" s="11"/>
      <c r="C350" s="4"/>
    </row>
    <row r="351" spans="1:3" ht="14.25" customHeight="1" x14ac:dyDescent="0.55000000000000004">
      <c r="A351" s="30"/>
      <c r="B351" s="11"/>
      <c r="C351" s="4"/>
    </row>
    <row r="352" spans="1:3" ht="14.25" customHeight="1" x14ac:dyDescent="0.55000000000000004">
      <c r="A352" s="30"/>
      <c r="B352" s="11"/>
      <c r="C352" s="4"/>
    </row>
    <row r="353" spans="1:3" ht="14.25" customHeight="1" x14ac:dyDescent="0.55000000000000004">
      <c r="A353" s="30"/>
      <c r="B353" s="11"/>
      <c r="C353" s="4"/>
    </row>
    <row r="354" spans="1:3" ht="14.25" customHeight="1" x14ac:dyDescent="0.55000000000000004">
      <c r="A354" s="30"/>
      <c r="B354" s="11"/>
      <c r="C354" s="4"/>
    </row>
    <row r="355" spans="1:3" ht="14.25" customHeight="1" x14ac:dyDescent="0.55000000000000004">
      <c r="A355" s="30"/>
      <c r="B355" s="11"/>
      <c r="C355" s="4"/>
    </row>
    <row r="356" spans="1:3" ht="14.25" customHeight="1" x14ac:dyDescent="0.55000000000000004">
      <c r="A356" s="30"/>
      <c r="B356" s="11"/>
      <c r="C356" s="4"/>
    </row>
    <row r="357" spans="1:3" ht="14.25" customHeight="1" x14ac:dyDescent="0.55000000000000004">
      <c r="A357" s="30"/>
      <c r="B357" s="11"/>
      <c r="C357" s="4"/>
    </row>
    <row r="358" spans="1:3" ht="14.25" customHeight="1" x14ac:dyDescent="0.55000000000000004">
      <c r="A358" s="30"/>
      <c r="B358" s="11"/>
      <c r="C358" s="4"/>
    </row>
    <row r="359" spans="1:3" ht="14.25" customHeight="1" x14ac:dyDescent="0.55000000000000004">
      <c r="A359" s="30"/>
      <c r="B359" s="11"/>
      <c r="C359" s="4"/>
    </row>
    <row r="360" spans="1:3" ht="14.25" customHeight="1" x14ac:dyDescent="0.55000000000000004">
      <c r="A360" s="30"/>
      <c r="B360" s="11"/>
      <c r="C360" s="4"/>
    </row>
    <row r="361" spans="1:3" ht="14.25" customHeight="1" x14ac:dyDescent="0.55000000000000004">
      <c r="A361" s="30"/>
      <c r="B361" s="11"/>
      <c r="C361" s="4"/>
    </row>
    <row r="362" spans="1:3" ht="14.25" customHeight="1" x14ac:dyDescent="0.55000000000000004">
      <c r="A362" s="30"/>
      <c r="B362" s="11"/>
      <c r="C362" s="4"/>
    </row>
    <row r="363" spans="1:3" ht="14.25" customHeight="1" x14ac:dyDescent="0.55000000000000004">
      <c r="A363" s="30"/>
      <c r="B363" s="11"/>
      <c r="C363" s="4"/>
    </row>
    <row r="364" spans="1:3" ht="14.25" customHeight="1" x14ac:dyDescent="0.55000000000000004">
      <c r="A364" s="30"/>
      <c r="B364" s="11"/>
      <c r="C364" s="4"/>
    </row>
    <row r="365" spans="1:3" ht="14.25" customHeight="1" x14ac:dyDescent="0.55000000000000004">
      <c r="A365" s="30"/>
      <c r="B365" s="11"/>
      <c r="C365" s="4"/>
    </row>
    <row r="366" spans="1:3" ht="14.25" customHeight="1" x14ac:dyDescent="0.55000000000000004">
      <c r="A366" s="30"/>
      <c r="B366" s="11"/>
      <c r="C366" s="4"/>
    </row>
    <row r="367" spans="1:3" ht="14.25" customHeight="1" x14ac:dyDescent="0.55000000000000004">
      <c r="A367" s="30"/>
      <c r="B367" s="11"/>
      <c r="C367" s="4"/>
    </row>
    <row r="368" spans="1:3" ht="14.25" customHeight="1" x14ac:dyDescent="0.55000000000000004">
      <c r="A368" s="30"/>
      <c r="B368" s="11"/>
      <c r="C368" s="4"/>
    </row>
    <row r="369" spans="1:3" ht="14.25" customHeight="1" x14ac:dyDescent="0.55000000000000004">
      <c r="A369" s="30"/>
      <c r="B369" s="11"/>
      <c r="C369" s="4"/>
    </row>
    <row r="370" spans="1:3" ht="14.25" customHeight="1" x14ac:dyDescent="0.55000000000000004">
      <c r="A370" s="30"/>
      <c r="B370" s="11"/>
      <c r="C370" s="4"/>
    </row>
    <row r="371" spans="1:3" ht="14.25" customHeight="1" x14ac:dyDescent="0.55000000000000004">
      <c r="A371" s="30"/>
      <c r="B371" s="11"/>
      <c r="C371" s="4"/>
    </row>
    <row r="372" spans="1:3" ht="14.25" customHeight="1" x14ac:dyDescent="0.55000000000000004">
      <c r="A372" s="30"/>
      <c r="B372" s="11"/>
      <c r="C372" s="4"/>
    </row>
    <row r="373" spans="1:3" ht="14.25" customHeight="1" x14ac:dyDescent="0.55000000000000004">
      <c r="A373" s="30"/>
      <c r="B373" s="11"/>
      <c r="C373" s="4"/>
    </row>
    <row r="374" spans="1:3" ht="14.25" customHeight="1" x14ac:dyDescent="0.55000000000000004">
      <c r="A374" s="30"/>
      <c r="B374" s="11"/>
      <c r="C374" s="4"/>
    </row>
    <row r="375" spans="1:3" ht="14.25" customHeight="1" x14ac:dyDescent="0.55000000000000004">
      <c r="A375" s="30"/>
      <c r="B375" s="11"/>
      <c r="C375" s="4"/>
    </row>
    <row r="376" spans="1:3" ht="14.25" customHeight="1" x14ac:dyDescent="0.55000000000000004">
      <c r="A376" s="30"/>
      <c r="B376" s="11"/>
      <c r="C376" s="4"/>
    </row>
    <row r="377" spans="1:3" ht="14.25" customHeight="1" x14ac:dyDescent="0.55000000000000004">
      <c r="A377" s="30"/>
      <c r="B377" s="11"/>
      <c r="C377" s="4"/>
    </row>
    <row r="378" spans="1:3" ht="14.25" customHeight="1" x14ac:dyDescent="0.55000000000000004">
      <c r="A378" s="30"/>
      <c r="B378" s="11"/>
      <c r="C378" s="4"/>
    </row>
    <row r="379" spans="1:3" ht="14.25" customHeight="1" x14ac:dyDescent="0.55000000000000004">
      <c r="A379" s="30"/>
      <c r="B379" s="11"/>
      <c r="C379" s="4"/>
    </row>
    <row r="380" spans="1:3" ht="14.25" customHeight="1" x14ac:dyDescent="0.55000000000000004">
      <c r="A380" s="30"/>
      <c r="B380" s="11"/>
      <c r="C380" s="4"/>
    </row>
    <row r="381" spans="1:3" ht="14.25" customHeight="1" x14ac:dyDescent="0.55000000000000004">
      <c r="A381" s="30"/>
      <c r="B381" s="11"/>
      <c r="C381" s="4"/>
    </row>
    <row r="382" spans="1:3" ht="14.25" customHeight="1" x14ac:dyDescent="0.55000000000000004">
      <c r="A382" s="30"/>
      <c r="B382" s="11"/>
      <c r="C382" s="4"/>
    </row>
    <row r="383" spans="1:3" ht="14.25" customHeight="1" x14ac:dyDescent="0.55000000000000004">
      <c r="A383" s="30"/>
      <c r="B383" s="11"/>
      <c r="C383" s="4"/>
    </row>
    <row r="384" spans="1:3" ht="14.25" customHeight="1" x14ac:dyDescent="0.55000000000000004">
      <c r="A384" s="30"/>
      <c r="B384" s="11"/>
      <c r="C384" s="4"/>
    </row>
    <row r="385" spans="1:3" ht="14.25" customHeight="1" x14ac:dyDescent="0.55000000000000004">
      <c r="A385" s="30"/>
      <c r="B385" s="11"/>
      <c r="C385" s="4"/>
    </row>
    <row r="386" spans="1:3" ht="14.25" customHeight="1" x14ac:dyDescent="0.55000000000000004">
      <c r="A386" s="30"/>
      <c r="B386" s="11"/>
      <c r="C386" s="4"/>
    </row>
    <row r="387" spans="1:3" ht="14.25" customHeight="1" x14ac:dyDescent="0.55000000000000004">
      <c r="A387" s="30"/>
      <c r="B387" s="11"/>
      <c r="C387" s="4"/>
    </row>
    <row r="388" spans="1:3" ht="14.25" customHeight="1" x14ac:dyDescent="0.55000000000000004">
      <c r="A388" s="30"/>
      <c r="B388" s="11"/>
      <c r="C388" s="4"/>
    </row>
    <row r="389" spans="1:3" ht="14.25" customHeight="1" x14ac:dyDescent="0.55000000000000004">
      <c r="A389" s="30"/>
      <c r="B389" s="11"/>
      <c r="C389" s="4"/>
    </row>
    <row r="390" spans="1:3" ht="14.25" customHeight="1" x14ac:dyDescent="0.55000000000000004">
      <c r="A390" s="30"/>
      <c r="B390" s="11"/>
      <c r="C390" s="4"/>
    </row>
    <row r="391" spans="1:3" ht="14.25" customHeight="1" x14ac:dyDescent="0.55000000000000004">
      <c r="A391" s="30"/>
      <c r="B391" s="11"/>
      <c r="C391" s="4"/>
    </row>
    <row r="392" spans="1:3" ht="14.25" customHeight="1" x14ac:dyDescent="0.55000000000000004">
      <c r="A392" s="30"/>
      <c r="B392" s="11"/>
      <c r="C392" s="4"/>
    </row>
    <row r="393" spans="1:3" ht="14.25" customHeight="1" x14ac:dyDescent="0.55000000000000004">
      <c r="A393" s="30"/>
      <c r="B393" s="11"/>
      <c r="C393" s="4"/>
    </row>
    <row r="394" spans="1:3" ht="14.25" customHeight="1" x14ac:dyDescent="0.55000000000000004">
      <c r="A394" s="30"/>
      <c r="B394" s="11"/>
      <c r="C394" s="4"/>
    </row>
    <row r="395" spans="1:3" ht="14.25" customHeight="1" x14ac:dyDescent="0.55000000000000004">
      <c r="A395" s="30"/>
      <c r="B395" s="11"/>
      <c r="C395" s="4"/>
    </row>
    <row r="396" spans="1:3" ht="14.25" customHeight="1" x14ac:dyDescent="0.55000000000000004">
      <c r="A396" s="30"/>
      <c r="B396" s="11"/>
      <c r="C396" s="4"/>
    </row>
    <row r="397" spans="1:3" ht="14.25" customHeight="1" x14ac:dyDescent="0.55000000000000004">
      <c r="A397" s="30"/>
      <c r="B397" s="11"/>
      <c r="C397" s="4"/>
    </row>
    <row r="398" spans="1:3" ht="14.25" customHeight="1" x14ac:dyDescent="0.55000000000000004">
      <c r="A398" s="30"/>
      <c r="B398" s="11"/>
      <c r="C398" s="4"/>
    </row>
    <row r="399" spans="1:3" ht="14.25" customHeight="1" x14ac:dyDescent="0.55000000000000004">
      <c r="A399" s="30"/>
      <c r="B399" s="11"/>
      <c r="C399" s="4"/>
    </row>
    <row r="400" spans="1:3" ht="14.25" customHeight="1" x14ac:dyDescent="0.55000000000000004">
      <c r="A400" s="30"/>
      <c r="B400" s="11"/>
      <c r="C400" s="4"/>
    </row>
    <row r="401" spans="1:3" ht="14.25" customHeight="1" x14ac:dyDescent="0.55000000000000004">
      <c r="A401" s="30"/>
      <c r="B401" s="11"/>
      <c r="C401" s="4"/>
    </row>
    <row r="402" spans="1:3" ht="14.25" customHeight="1" x14ac:dyDescent="0.55000000000000004">
      <c r="A402" s="30"/>
      <c r="B402" s="11"/>
      <c r="C402" s="4"/>
    </row>
    <row r="403" spans="1:3" ht="14.25" customHeight="1" x14ac:dyDescent="0.55000000000000004">
      <c r="A403" s="30"/>
      <c r="B403" s="11"/>
      <c r="C403" s="4"/>
    </row>
    <row r="404" spans="1:3" ht="14.25" customHeight="1" x14ac:dyDescent="0.55000000000000004">
      <c r="A404" s="30"/>
      <c r="B404" s="11"/>
      <c r="C404" s="4"/>
    </row>
    <row r="405" spans="1:3" ht="14.25" customHeight="1" x14ac:dyDescent="0.55000000000000004">
      <c r="A405" s="30"/>
      <c r="B405" s="11"/>
      <c r="C405" s="4"/>
    </row>
    <row r="406" spans="1:3" ht="14.25" customHeight="1" x14ac:dyDescent="0.55000000000000004">
      <c r="A406" s="30"/>
      <c r="B406" s="11"/>
      <c r="C406" s="4"/>
    </row>
    <row r="407" spans="1:3" ht="14.25" customHeight="1" x14ac:dyDescent="0.55000000000000004">
      <c r="A407" s="30"/>
      <c r="B407" s="11"/>
      <c r="C407" s="4"/>
    </row>
    <row r="408" spans="1:3" ht="14.25" customHeight="1" x14ac:dyDescent="0.55000000000000004">
      <c r="A408" s="30"/>
      <c r="B408" s="11"/>
      <c r="C408" s="4"/>
    </row>
    <row r="409" spans="1:3" ht="14.25" customHeight="1" x14ac:dyDescent="0.55000000000000004">
      <c r="A409" s="30"/>
      <c r="B409" s="11"/>
      <c r="C409" s="4"/>
    </row>
    <row r="410" spans="1:3" ht="14.25" customHeight="1" x14ac:dyDescent="0.55000000000000004">
      <c r="A410" s="30"/>
      <c r="B410" s="11"/>
      <c r="C410" s="4"/>
    </row>
    <row r="411" spans="1:3" ht="14.25" customHeight="1" x14ac:dyDescent="0.55000000000000004">
      <c r="A411" s="30"/>
      <c r="B411" s="11"/>
      <c r="C411" s="4"/>
    </row>
    <row r="412" spans="1:3" ht="14.25" customHeight="1" x14ac:dyDescent="0.55000000000000004">
      <c r="A412" s="30"/>
      <c r="B412" s="11"/>
      <c r="C412" s="4"/>
    </row>
    <row r="413" spans="1:3" ht="14.25" customHeight="1" x14ac:dyDescent="0.55000000000000004">
      <c r="A413" s="30"/>
      <c r="B413" s="11"/>
      <c r="C413" s="4"/>
    </row>
    <row r="414" spans="1:3" ht="14.25" customHeight="1" x14ac:dyDescent="0.55000000000000004">
      <c r="A414" s="30"/>
      <c r="B414" s="11"/>
      <c r="C414" s="4"/>
    </row>
    <row r="415" spans="1:3" ht="14.25" customHeight="1" x14ac:dyDescent="0.55000000000000004">
      <c r="A415" s="30"/>
      <c r="B415" s="11"/>
      <c r="C415" s="4"/>
    </row>
    <row r="416" spans="1:3" ht="14.25" customHeight="1" x14ac:dyDescent="0.55000000000000004">
      <c r="A416" s="30"/>
      <c r="B416" s="11"/>
      <c r="C416" s="4"/>
    </row>
    <row r="417" spans="1:3" ht="14.25" customHeight="1" x14ac:dyDescent="0.55000000000000004">
      <c r="A417" s="30"/>
      <c r="B417" s="11"/>
      <c r="C417" s="4"/>
    </row>
    <row r="418" spans="1:3" ht="14.25" customHeight="1" x14ac:dyDescent="0.55000000000000004">
      <c r="A418" s="30"/>
      <c r="B418" s="11"/>
      <c r="C418" s="4"/>
    </row>
    <row r="419" spans="1:3" ht="14.25" customHeight="1" x14ac:dyDescent="0.55000000000000004">
      <c r="A419" s="30"/>
      <c r="B419" s="11"/>
      <c r="C419" s="4"/>
    </row>
    <row r="420" spans="1:3" ht="14.25" customHeight="1" x14ac:dyDescent="0.55000000000000004">
      <c r="A420" s="30"/>
      <c r="B420" s="11"/>
      <c r="C420" s="4"/>
    </row>
    <row r="421" spans="1:3" ht="14.25" customHeight="1" x14ac:dyDescent="0.55000000000000004">
      <c r="A421" s="30"/>
      <c r="B421" s="11"/>
      <c r="C421" s="4"/>
    </row>
    <row r="422" spans="1:3" ht="14.25" customHeight="1" x14ac:dyDescent="0.55000000000000004">
      <c r="A422" s="30"/>
      <c r="B422" s="11"/>
      <c r="C422" s="4"/>
    </row>
    <row r="423" spans="1:3" ht="14.25" customHeight="1" x14ac:dyDescent="0.55000000000000004">
      <c r="A423" s="30"/>
      <c r="B423" s="11"/>
      <c r="C423" s="4"/>
    </row>
    <row r="424" spans="1:3" ht="14.25" customHeight="1" x14ac:dyDescent="0.55000000000000004">
      <c r="A424" s="30"/>
      <c r="B424" s="11"/>
      <c r="C424" s="4"/>
    </row>
    <row r="425" spans="1:3" ht="14.25" customHeight="1" x14ac:dyDescent="0.55000000000000004">
      <c r="A425" s="30"/>
      <c r="B425" s="11"/>
      <c r="C425" s="4"/>
    </row>
    <row r="426" spans="1:3" ht="14.25" customHeight="1" x14ac:dyDescent="0.55000000000000004">
      <c r="A426" s="30"/>
      <c r="B426" s="11"/>
      <c r="C426" s="4"/>
    </row>
    <row r="427" spans="1:3" ht="14.25" customHeight="1" x14ac:dyDescent="0.55000000000000004">
      <c r="A427" s="30"/>
      <c r="B427" s="11"/>
      <c r="C427" s="4"/>
    </row>
    <row r="428" spans="1:3" ht="14.25" customHeight="1" x14ac:dyDescent="0.55000000000000004">
      <c r="A428" s="30"/>
      <c r="B428" s="11"/>
      <c r="C428" s="4"/>
    </row>
    <row r="429" spans="1:3" ht="14.25" customHeight="1" x14ac:dyDescent="0.55000000000000004">
      <c r="A429" s="30"/>
      <c r="B429" s="11"/>
      <c r="C429" s="4"/>
    </row>
    <row r="430" spans="1:3" ht="14.25" customHeight="1" x14ac:dyDescent="0.55000000000000004">
      <c r="A430" s="30"/>
      <c r="B430" s="11"/>
      <c r="C430" s="4"/>
    </row>
    <row r="431" spans="1:3" ht="14.25" customHeight="1" x14ac:dyDescent="0.55000000000000004">
      <c r="A431" s="30"/>
      <c r="B431" s="11"/>
      <c r="C431" s="4"/>
    </row>
    <row r="432" spans="1:3" ht="14.25" customHeight="1" x14ac:dyDescent="0.55000000000000004">
      <c r="A432" s="30"/>
      <c r="B432" s="11"/>
      <c r="C432" s="4"/>
    </row>
    <row r="433" spans="1:3" ht="14.25" customHeight="1" x14ac:dyDescent="0.55000000000000004">
      <c r="A433" s="30"/>
      <c r="B433" s="11"/>
      <c r="C433" s="4"/>
    </row>
    <row r="434" spans="1:3" ht="14.25" customHeight="1" x14ac:dyDescent="0.55000000000000004">
      <c r="A434" s="30"/>
      <c r="B434" s="11"/>
      <c r="C434" s="4"/>
    </row>
    <row r="435" spans="1:3" ht="14.25" customHeight="1" x14ac:dyDescent="0.55000000000000004">
      <c r="A435" s="30"/>
      <c r="B435" s="11"/>
      <c r="C435" s="4"/>
    </row>
    <row r="436" spans="1:3" ht="14.25" customHeight="1" x14ac:dyDescent="0.55000000000000004">
      <c r="A436" s="30"/>
      <c r="B436" s="11"/>
      <c r="C436" s="4"/>
    </row>
    <row r="437" spans="1:3" ht="14.25" customHeight="1" x14ac:dyDescent="0.55000000000000004">
      <c r="A437" s="30"/>
      <c r="B437" s="11"/>
      <c r="C437" s="4"/>
    </row>
    <row r="438" spans="1:3" ht="14.25" customHeight="1" x14ac:dyDescent="0.55000000000000004">
      <c r="A438" s="30"/>
      <c r="B438" s="11"/>
      <c r="C438" s="4"/>
    </row>
    <row r="439" spans="1:3" ht="14.25" customHeight="1" x14ac:dyDescent="0.55000000000000004">
      <c r="A439" s="30"/>
      <c r="B439" s="11"/>
      <c r="C439" s="4"/>
    </row>
    <row r="440" spans="1:3" ht="14.25" customHeight="1" x14ac:dyDescent="0.55000000000000004">
      <c r="A440" s="30"/>
      <c r="B440" s="11"/>
      <c r="C440" s="4"/>
    </row>
    <row r="441" spans="1:3" ht="14.25" customHeight="1" x14ac:dyDescent="0.55000000000000004">
      <c r="A441" s="30"/>
      <c r="B441" s="11"/>
      <c r="C441" s="4"/>
    </row>
    <row r="442" spans="1:3" ht="14.25" customHeight="1" x14ac:dyDescent="0.55000000000000004">
      <c r="A442" s="30"/>
      <c r="B442" s="11"/>
      <c r="C442" s="4"/>
    </row>
    <row r="443" spans="1:3" ht="14.25" customHeight="1" x14ac:dyDescent="0.55000000000000004">
      <c r="A443" s="30"/>
      <c r="B443" s="11"/>
      <c r="C443" s="4"/>
    </row>
    <row r="444" spans="1:3" ht="14.25" customHeight="1" x14ac:dyDescent="0.55000000000000004">
      <c r="A444" s="30"/>
      <c r="B444" s="11"/>
      <c r="C444" s="4"/>
    </row>
    <row r="445" spans="1:3" ht="14.25" customHeight="1" x14ac:dyDescent="0.55000000000000004">
      <c r="A445" s="30"/>
      <c r="B445" s="11"/>
      <c r="C445" s="4"/>
    </row>
    <row r="446" spans="1:3" ht="14.25" customHeight="1" x14ac:dyDescent="0.55000000000000004">
      <c r="A446" s="30"/>
      <c r="B446" s="11"/>
      <c r="C446" s="4"/>
    </row>
    <row r="447" spans="1:3" ht="14.25" customHeight="1" x14ac:dyDescent="0.55000000000000004">
      <c r="A447" s="30"/>
      <c r="B447" s="11"/>
      <c r="C447" s="4"/>
    </row>
    <row r="448" spans="1:3" ht="14.25" customHeight="1" x14ac:dyDescent="0.55000000000000004">
      <c r="A448" s="30"/>
      <c r="B448" s="11"/>
      <c r="C448" s="4"/>
    </row>
    <row r="449" spans="1:3" ht="14.25" customHeight="1" x14ac:dyDescent="0.55000000000000004">
      <c r="A449" s="30"/>
      <c r="B449" s="11"/>
      <c r="C449" s="4"/>
    </row>
    <row r="450" spans="1:3" ht="14.25" customHeight="1" x14ac:dyDescent="0.55000000000000004">
      <c r="A450" s="30"/>
      <c r="B450" s="11"/>
      <c r="C450" s="4"/>
    </row>
    <row r="451" spans="1:3" ht="14.25" customHeight="1" x14ac:dyDescent="0.55000000000000004">
      <c r="A451" s="30"/>
      <c r="B451" s="11"/>
      <c r="C451" s="4"/>
    </row>
    <row r="452" spans="1:3" ht="14.25" customHeight="1" x14ac:dyDescent="0.55000000000000004">
      <c r="A452" s="30"/>
      <c r="B452" s="11"/>
      <c r="C452" s="4"/>
    </row>
    <row r="453" spans="1:3" ht="14.25" customHeight="1" x14ac:dyDescent="0.55000000000000004">
      <c r="A453" s="30"/>
      <c r="B453" s="11"/>
      <c r="C453" s="4"/>
    </row>
    <row r="454" spans="1:3" ht="14.25" customHeight="1" x14ac:dyDescent="0.55000000000000004">
      <c r="A454" s="30"/>
      <c r="B454" s="11"/>
      <c r="C454" s="4"/>
    </row>
    <row r="455" spans="1:3" ht="14.25" customHeight="1" x14ac:dyDescent="0.55000000000000004">
      <c r="A455" s="30"/>
      <c r="B455" s="11"/>
      <c r="C455" s="4"/>
    </row>
    <row r="456" spans="1:3" ht="14.25" customHeight="1" x14ac:dyDescent="0.55000000000000004">
      <c r="A456" s="30"/>
      <c r="B456" s="11"/>
      <c r="C456" s="4"/>
    </row>
    <row r="457" spans="1:3" ht="14.25" customHeight="1" x14ac:dyDescent="0.55000000000000004">
      <c r="A457" s="30"/>
      <c r="B457" s="11"/>
      <c r="C457" s="4"/>
    </row>
    <row r="458" spans="1:3" ht="14.25" customHeight="1" x14ac:dyDescent="0.55000000000000004">
      <c r="A458" s="30"/>
      <c r="B458" s="11"/>
      <c r="C458" s="4"/>
    </row>
    <row r="459" spans="1:3" ht="14.25" customHeight="1" x14ac:dyDescent="0.55000000000000004">
      <c r="A459" s="30"/>
      <c r="B459" s="11"/>
      <c r="C459" s="4"/>
    </row>
    <row r="460" spans="1:3" ht="14.25" customHeight="1" x14ac:dyDescent="0.55000000000000004">
      <c r="A460" s="30"/>
      <c r="B460" s="11"/>
      <c r="C460" s="4"/>
    </row>
    <row r="461" spans="1:3" ht="14.25" customHeight="1" x14ac:dyDescent="0.55000000000000004">
      <c r="A461" s="30"/>
      <c r="B461" s="11"/>
      <c r="C461" s="4"/>
    </row>
    <row r="462" spans="1:3" ht="14.25" customHeight="1" x14ac:dyDescent="0.55000000000000004">
      <c r="A462" s="30"/>
      <c r="B462" s="11"/>
      <c r="C462" s="4"/>
    </row>
    <row r="463" spans="1:3" ht="14.25" customHeight="1" x14ac:dyDescent="0.55000000000000004">
      <c r="A463" s="30"/>
      <c r="B463" s="11"/>
      <c r="C463" s="4"/>
    </row>
    <row r="464" spans="1:3" ht="14.25" customHeight="1" x14ac:dyDescent="0.55000000000000004">
      <c r="A464" s="30"/>
      <c r="B464" s="11"/>
      <c r="C464" s="4"/>
    </row>
    <row r="465" spans="1:3" ht="14.25" customHeight="1" x14ac:dyDescent="0.55000000000000004">
      <c r="A465" s="30"/>
      <c r="B465" s="11"/>
      <c r="C465" s="4"/>
    </row>
    <row r="466" spans="1:3" ht="14.25" customHeight="1" x14ac:dyDescent="0.55000000000000004">
      <c r="A466" s="30"/>
      <c r="B466" s="11"/>
      <c r="C466" s="4"/>
    </row>
    <row r="467" spans="1:3" ht="14.25" customHeight="1" x14ac:dyDescent="0.55000000000000004">
      <c r="A467" s="30"/>
      <c r="B467" s="11"/>
      <c r="C467" s="4"/>
    </row>
    <row r="468" spans="1:3" ht="14.25" customHeight="1" x14ac:dyDescent="0.55000000000000004">
      <c r="A468" s="30"/>
      <c r="B468" s="11"/>
      <c r="C468" s="4"/>
    </row>
    <row r="469" spans="1:3" ht="14.25" customHeight="1" x14ac:dyDescent="0.55000000000000004">
      <c r="A469" s="30"/>
      <c r="B469" s="11"/>
      <c r="C469" s="4"/>
    </row>
    <row r="470" spans="1:3" ht="14.25" customHeight="1" x14ac:dyDescent="0.55000000000000004">
      <c r="A470" s="30"/>
      <c r="B470" s="11"/>
      <c r="C470" s="4"/>
    </row>
    <row r="471" spans="1:3" ht="14.25" customHeight="1" x14ac:dyDescent="0.55000000000000004">
      <c r="A471" s="30"/>
      <c r="B471" s="11"/>
      <c r="C471" s="4"/>
    </row>
    <row r="472" spans="1:3" ht="14.25" customHeight="1" x14ac:dyDescent="0.55000000000000004">
      <c r="A472" s="30"/>
      <c r="B472" s="11"/>
      <c r="C472" s="4"/>
    </row>
    <row r="473" spans="1:3" ht="14.25" customHeight="1" x14ac:dyDescent="0.55000000000000004">
      <c r="A473" s="30"/>
      <c r="B473" s="11"/>
      <c r="C473" s="4"/>
    </row>
    <row r="474" spans="1:3" ht="14.25" customHeight="1" x14ac:dyDescent="0.55000000000000004">
      <c r="A474" s="30"/>
      <c r="B474" s="11"/>
      <c r="C474" s="4"/>
    </row>
    <row r="475" spans="1:3" ht="14.25" customHeight="1" x14ac:dyDescent="0.55000000000000004">
      <c r="A475" s="30"/>
      <c r="B475" s="11"/>
      <c r="C475" s="4"/>
    </row>
    <row r="476" spans="1:3" ht="14.25" customHeight="1" x14ac:dyDescent="0.55000000000000004">
      <c r="A476" s="30"/>
      <c r="B476" s="11"/>
      <c r="C476" s="4"/>
    </row>
    <row r="477" spans="1:3" ht="14.25" customHeight="1" x14ac:dyDescent="0.55000000000000004">
      <c r="A477" s="30"/>
      <c r="B477" s="11"/>
      <c r="C477" s="4"/>
    </row>
    <row r="478" spans="1:3" ht="14.25" customHeight="1" x14ac:dyDescent="0.55000000000000004">
      <c r="A478" s="30"/>
      <c r="B478" s="11"/>
      <c r="C478" s="4"/>
    </row>
    <row r="479" spans="1:3" ht="14.25" customHeight="1" x14ac:dyDescent="0.55000000000000004">
      <c r="A479" s="30"/>
      <c r="B479" s="11"/>
      <c r="C479" s="4"/>
    </row>
    <row r="480" spans="1:3" ht="14.25" customHeight="1" x14ac:dyDescent="0.55000000000000004">
      <c r="A480" s="30"/>
      <c r="B480" s="11"/>
      <c r="C480" s="4"/>
    </row>
    <row r="481" spans="1:3" ht="14.25" customHeight="1" x14ac:dyDescent="0.55000000000000004">
      <c r="A481" s="30"/>
      <c r="B481" s="11"/>
      <c r="C481" s="4"/>
    </row>
    <row r="482" spans="1:3" ht="14.25" customHeight="1" x14ac:dyDescent="0.55000000000000004">
      <c r="A482" s="30"/>
      <c r="B482" s="11"/>
      <c r="C482" s="4"/>
    </row>
    <row r="483" spans="1:3" ht="14.25" customHeight="1" x14ac:dyDescent="0.55000000000000004">
      <c r="A483" s="30"/>
      <c r="B483" s="11"/>
      <c r="C483" s="4"/>
    </row>
    <row r="484" spans="1:3" ht="14.25" customHeight="1" x14ac:dyDescent="0.55000000000000004">
      <c r="A484" s="30"/>
      <c r="B484" s="11"/>
      <c r="C484" s="4"/>
    </row>
    <row r="485" spans="1:3" ht="14.25" customHeight="1" x14ac:dyDescent="0.55000000000000004">
      <c r="A485" s="30"/>
      <c r="B485" s="11"/>
      <c r="C485" s="4"/>
    </row>
    <row r="486" spans="1:3" ht="14.25" customHeight="1" x14ac:dyDescent="0.55000000000000004">
      <c r="A486" s="30"/>
      <c r="B486" s="11"/>
      <c r="C486" s="4"/>
    </row>
    <row r="487" spans="1:3" ht="14.25" customHeight="1" x14ac:dyDescent="0.55000000000000004">
      <c r="A487" s="30"/>
      <c r="B487" s="11"/>
      <c r="C487" s="4"/>
    </row>
    <row r="488" spans="1:3" ht="14.25" customHeight="1" x14ac:dyDescent="0.55000000000000004">
      <c r="A488" s="30"/>
      <c r="B488" s="11"/>
      <c r="C488" s="4"/>
    </row>
    <row r="489" spans="1:3" ht="14.25" customHeight="1" x14ac:dyDescent="0.55000000000000004">
      <c r="A489" s="30"/>
      <c r="B489" s="11"/>
      <c r="C489" s="4"/>
    </row>
    <row r="490" spans="1:3" ht="14.25" customHeight="1" x14ac:dyDescent="0.55000000000000004">
      <c r="A490" s="30"/>
      <c r="B490" s="11"/>
      <c r="C490" s="4"/>
    </row>
    <row r="491" spans="1:3" ht="14.25" customHeight="1" x14ac:dyDescent="0.55000000000000004">
      <c r="A491" s="30"/>
      <c r="B491" s="11"/>
      <c r="C491" s="4"/>
    </row>
    <row r="492" spans="1:3" ht="14.25" customHeight="1" x14ac:dyDescent="0.55000000000000004">
      <c r="A492" s="30"/>
      <c r="B492" s="11"/>
      <c r="C492" s="4"/>
    </row>
    <row r="493" spans="1:3" ht="14.25" customHeight="1" x14ac:dyDescent="0.55000000000000004">
      <c r="A493" s="30"/>
      <c r="B493" s="11"/>
      <c r="C493" s="4"/>
    </row>
    <row r="494" spans="1:3" ht="14.25" customHeight="1" x14ac:dyDescent="0.55000000000000004">
      <c r="A494" s="30"/>
      <c r="B494" s="11"/>
      <c r="C494" s="4"/>
    </row>
    <row r="495" spans="1:3" ht="14.25" customHeight="1" x14ac:dyDescent="0.55000000000000004">
      <c r="A495" s="30"/>
      <c r="B495" s="11"/>
      <c r="C495" s="4"/>
    </row>
    <row r="496" spans="1:3" ht="14.25" customHeight="1" x14ac:dyDescent="0.55000000000000004">
      <c r="A496" s="30"/>
      <c r="B496" s="11"/>
      <c r="C496" s="4"/>
    </row>
    <row r="497" spans="1:3" ht="14.25" customHeight="1" x14ac:dyDescent="0.55000000000000004">
      <c r="A497" s="30"/>
      <c r="B497" s="11"/>
      <c r="C497" s="4"/>
    </row>
    <row r="498" spans="1:3" ht="14.25" customHeight="1" x14ac:dyDescent="0.55000000000000004">
      <c r="A498" s="30"/>
      <c r="B498" s="11"/>
      <c r="C498" s="4"/>
    </row>
    <row r="499" spans="1:3" ht="14.25" customHeight="1" x14ac:dyDescent="0.55000000000000004">
      <c r="A499" s="30"/>
      <c r="B499" s="11"/>
      <c r="C499" s="4"/>
    </row>
    <row r="500" spans="1:3" ht="14.25" customHeight="1" x14ac:dyDescent="0.55000000000000004">
      <c r="A500" s="30"/>
      <c r="B500" s="11"/>
      <c r="C500" s="4"/>
    </row>
    <row r="501" spans="1:3" ht="14.25" customHeight="1" x14ac:dyDescent="0.55000000000000004">
      <c r="A501" s="30"/>
      <c r="B501" s="11"/>
      <c r="C501" s="4"/>
    </row>
    <row r="502" spans="1:3" ht="14.25" customHeight="1" x14ac:dyDescent="0.55000000000000004">
      <c r="A502" s="30"/>
      <c r="B502" s="11"/>
      <c r="C502" s="4"/>
    </row>
    <row r="503" spans="1:3" ht="14.25" customHeight="1" x14ac:dyDescent="0.55000000000000004">
      <c r="A503" s="30"/>
      <c r="B503" s="11"/>
      <c r="C503" s="4"/>
    </row>
    <row r="504" spans="1:3" ht="14.25" customHeight="1" x14ac:dyDescent="0.55000000000000004">
      <c r="A504" s="30"/>
      <c r="B504" s="11"/>
      <c r="C504" s="4"/>
    </row>
    <row r="505" spans="1:3" ht="14.25" customHeight="1" x14ac:dyDescent="0.55000000000000004">
      <c r="A505" s="30"/>
      <c r="B505" s="11"/>
      <c r="C505" s="4"/>
    </row>
    <row r="506" spans="1:3" ht="14.25" customHeight="1" x14ac:dyDescent="0.55000000000000004">
      <c r="A506" s="30"/>
      <c r="B506" s="11"/>
      <c r="C506" s="4"/>
    </row>
    <row r="507" spans="1:3" ht="14.25" customHeight="1" x14ac:dyDescent="0.55000000000000004">
      <c r="A507" s="30"/>
      <c r="B507" s="11"/>
      <c r="C507" s="4"/>
    </row>
    <row r="508" spans="1:3" ht="14.25" customHeight="1" x14ac:dyDescent="0.55000000000000004">
      <c r="A508" s="30"/>
      <c r="B508" s="11"/>
      <c r="C508" s="4"/>
    </row>
    <row r="509" spans="1:3" ht="14.25" customHeight="1" x14ac:dyDescent="0.55000000000000004">
      <c r="A509" s="30"/>
      <c r="B509" s="11"/>
      <c r="C509" s="4"/>
    </row>
    <row r="510" spans="1:3" ht="14.25" customHeight="1" x14ac:dyDescent="0.55000000000000004">
      <c r="A510" s="30"/>
      <c r="B510" s="11"/>
      <c r="C510" s="4"/>
    </row>
    <row r="511" spans="1:3" ht="14.25" customHeight="1" x14ac:dyDescent="0.55000000000000004">
      <c r="A511" s="30"/>
      <c r="B511" s="11"/>
      <c r="C511" s="4"/>
    </row>
    <row r="512" spans="1:3" ht="14.25" customHeight="1" x14ac:dyDescent="0.55000000000000004">
      <c r="A512" s="30"/>
      <c r="B512" s="11"/>
      <c r="C512" s="4"/>
    </row>
    <row r="513" spans="1:3" ht="14.25" customHeight="1" x14ac:dyDescent="0.55000000000000004">
      <c r="A513" s="30"/>
      <c r="B513" s="11"/>
      <c r="C513" s="4"/>
    </row>
    <row r="514" spans="1:3" ht="14.25" customHeight="1" x14ac:dyDescent="0.55000000000000004">
      <c r="A514" s="30"/>
      <c r="B514" s="11"/>
      <c r="C514" s="4"/>
    </row>
    <row r="515" spans="1:3" ht="14.25" customHeight="1" x14ac:dyDescent="0.55000000000000004">
      <c r="A515" s="30"/>
      <c r="B515" s="11"/>
      <c r="C515" s="4"/>
    </row>
    <row r="516" spans="1:3" ht="14.25" customHeight="1" x14ac:dyDescent="0.55000000000000004">
      <c r="A516" s="30"/>
      <c r="B516" s="11"/>
      <c r="C516" s="4"/>
    </row>
    <row r="517" spans="1:3" ht="14.25" customHeight="1" x14ac:dyDescent="0.55000000000000004">
      <c r="A517" s="30"/>
      <c r="B517" s="11"/>
      <c r="C517" s="4"/>
    </row>
    <row r="518" spans="1:3" ht="14.25" customHeight="1" x14ac:dyDescent="0.55000000000000004">
      <c r="A518" s="30"/>
      <c r="B518" s="11"/>
      <c r="C518" s="4"/>
    </row>
    <row r="519" spans="1:3" ht="14.25" customHeight="1" x14ac:dyDescent="0.55000000000000004">
      <c r="A519" s="30"/>
      <c r="B519" s="11"/>
      <c r="C519" s="4"/>
    </row>
    <row r="520" spans="1:3" ht="14.25" customHeight="1" x14ac:dyDescent="0.55000000000000004">
      <c r="A520" s="30"/>
      <c r="B520" s="11"/>
      <c r="C520" s="4"/>
    </row>
    <row r="521" spans="1:3" ht="14.25" customHeight="1" x14ac:dyDescent="0.55000000000000004">
      <c r="A521" s="30"/>
      <c r="B521" s="11"/>
      <c r="C521" s="4"/>
    </row>
    <row r="522" spans="1:3" ht="14.25" customHeight="1" x14ac:dyDescent="0.55000000000000004">
      <c r="A522" s="30"/>
      <c r="B522" s="11"/>
      <c r="C522" s="4"/>
    </row>
    <row r="523" spans="1:3" ht="14.25" customHeight="1" x14ac:dyDescent="0.55000000000000004">
      <c r="A523" s="30"/>
      <c r="B523" s="11"/>
      <c r="C523" s="4"/>
    </row>
    <row r="524" spans="1:3" ht="14.25" customHeight="1" x14ac:dyDescent="0.55000000000000004">
      <c r="A524" s="30"/>
      <c r="B524" s="11"/>
      <c r="C524" s="4"/>
    </row>
    <row r="525" spans="1:3" ht="14.25" customHeight="1" x14ac:dyDescent="0.55000000000000004">
      <c r="A525" s="30"/>
      <c r="B525" s="11"/>
      <c r="C525" s="4"/>
    </row>
    <row r="526" spans="1:3" ht="14.25" customHeight="1" x14ac:dyDescent="0.55000000000000004">
      <c r="A526" s="30"/>
      <c r="B526" s="11"/>
      <c r="C526" s="4"/>
    </row>
    <row r="527" spans="1:3" ht="14.25" customHeight="1" x14ac:dyDescent="0.55000000000000004">
      <c r="A527" s="30"/>
      <c r="B527" s="11"/>
      <c r="C527" s="4"/>
    </row>
    <row r="528" spans="1:3" ht="14.25" customHeight="1" x14ac:dyDescent="0.55000000000000004">
      <c r="A528" s="30"/>
      <c r="B528" s="11"/>
      <c r="C528" s="4"/>
    </row>
    <row r="529" spans="1:3" ht="14.25" customHeight="1" x14ac:dyDescent="0.55000000000000004">
      <c r="A529" s="30"/>
      <c r="B529" s="11"/>
      <c r="C529" s="4"/>
    </row>
    <row r="530" spans="1:3" ht="14.25" customHeight="1" x14ac:dyDescent="0.55000000000000004">
      <c r="A530" s="30"/>
      <c r="B530" s="11"/>
      <c r="C530" s="4"/>
    </row>
    <row r="531" spans="1:3" ht="14.25" customHeight="1" x14ac:dyDescent="0.55000000000000004">
      <c r="A531" s="30"/>
      <c r="B531" s="11"/>
      <c r="C531" s="4"/>
    </row>
    <row r="532" spans="1:3" ht="14.25" customHeight="1" x14ac:dyDescent="0.55000000000000004">
      <c r="A532" s="30"/>
      <c r="B532" s="11"/>
      <c r="C532" s="4"/>
    </row>
    <row r="533" spans="1:3" ht="14.25" customHeight="1" x14ac:dyDescent="0.55000000000000004">
      <c r="A533" s="30"/>
      <c r="B533" s="11"/>
      <c r="C533" s="4"/>
    </row>
    <row r="534" spans="1:3" ht="14.25" customHeight="1" x14ac:dyDescent="0.55000000000000004">
      <c r="A534" s="30"/>
      <c r="B534" s="11"/>
      <c r="C534" s="4"/>
    </row>
    <row r="535" spans="1:3" ht="14.25" customHeight="1" x14ac:dyDescent="0.55000000000000004">
      <c r="A535" s="30"/>
      <c r="B535" s="11"/>
      <c r="C535" s="4"/>
    </row>
    <row r="536" spans="1:3" ht="14.25" customHeight="1" x14ac:dyDescent="0.55000000000000004">
      <c r="A536" s="30"/>
      <c r="B536" s="11"/>
      <c r="C536" s="4"/>
    </row>
    <row r="537" spans="1:3" ht="14.25" customHeight="1" x14ac:dyDescent="0.55000000000000004">
      <c r="A537" s="30"/>
      <c r="B537" s="11"/>
      <c r="C537" s="4"/>
    </row>
    <row r="538" spans="1:3" ht="14.25" customHeight="1" x14ac:dyDescent="0.55000000000000004">
      <c r="A538" s="30"/>
      <c r="B538" s="11"/>
      <c r="C538" s="4"/>
    </row>
    <row r="539" spans="1:3" ht="14.25" customHeight="1" x14ac:dyDescent="0.55000000000000004">
      <c r="A539" s="30"/>
      <c r="B539" s="11"/>
      <c r="C539" s="4"/>
    </row>
    <row r="540" spans="1:3" ht="14.25" customHeight="1" x14ac:dyDescent="0.55000000000000004">
      <c r="A540" s="30"/>
      <c r="B540" s="11"/>
      <c r="C540" s="4"/>
    </row>
    <row r="541" spans="1:3" ht="14.25" customHeight="1" x14ac:dyDescent="0.55000000000000004">
      <c r="A541" s="30"/>
      <c r="B541" s="11"/>
      <c r="C541" s="4"/>
    </row>
    <row r="542" spans="1:3" ht="14.25" customHeight="1" x14ac:dyDescent="0.55000000000000004">
      <c r="A542" s="30"/>
      <c r="B542" s="11"/>
      <c r="C542" s="4"/>
    </row>
    <row r="543" spans="1:3" ht="14.25" customHeight="1" x14ac:dyDescent="0.55000000000000004">
      <c r="A543" s="30"/>
      <c r="B543" s="11"/>
      <c r="C543" s="4"/>
    </row>
    <row r="544" spans="1:3" ht="14.25" customHeight="1" x14ac:dyDescent="0.55000000000000004">
      <c r="A544" s="30"/>
      <c r="B544" s="11"/>
      <c r="C544" s="4"/>
    </row>
    <row r="545" spans="1:3" ht="14.25" customHeight="1" x14ac:dyDescent="0.55000000000000004">
      <c r="A545" s="30"/>
      <c r="B545" s="11"/>
      <c r="C545" s="4"/>
    </row>
    <row r="546" spans="1:3" ht="14.25" customHeight="1" x14ac:dyDescent="0.55000000000000004">
      <c r="A546" s="30"/>
      <c r="B546" s="11"/>
      <c r="C546" s="4"/>
    </row>
    <row r="547" spans="1:3" ht="14.25" customHeight="1" x14ac:dyDescent="0.55000000000000004">
      <c r="A547" s="30"/>
      <c r="B547" s="11"/>
      <c r="C547" s="4"/>
    </row>
    <row r="548" spans="1:3" ht="14.25" customHeight="1" x14ac:dyDescent="0.55000000000000004">
      <c r="A548" s="30"/>
      <c r="B548" s="11"/>
      <c r="C548" s="4"/>
    </row>
    <row r="549" spans="1:3" ht="14.25" customHeight="1" x14ac:dyDescent="0.55000000000000004">
      <c r="A549" s="30"/>
      <c r="B549" s="11"/>
      <c r="C549" s="4"/>
    </row>
    <row r="550" spans="1:3" ht="14.25" customHeight="1" x14ac:dyDescent="0.55000000000000004">
      <c r="A550" s="30"/>
      <c r="B550" s="11"/>
      <c r="C550" s="4"/>
    </row>
    <row r="551" spans="1:3" ht="14.25" customHeight="1" x14ac:dyDescent="0.55000000000000004">
      <c r="A551" s="30"/>
      <c r="B551" s="11"/>
      <c r="C551" s="4"/>
    </row>
    <row r="552" spans="1:3" ht="14.25" customHeight="1" x14ac:dyDescent="0.55000000000000004">
      <c r="A552" s="30"/>
      <c r="B552" s="11"/>
      <c r="C552" s="4"/>
    </row>
    <row r="553" spans="1:3" ht="14.25" customHeight="1" x14ac:dyDescent="0.55000000000000004">
      <c r="A553" s="30"/>
      <c r="B553" s="11"/>
      <c r="C553" s="4"/>
    </row>
    <row r="554" spans="1:3" ht="14.25" customHeight="1" x14ac:dyDescent="0.55000000000000004">
      <c r="A554" s="30"/>
      <c r="B554" s="11"/>
      <c r="C554" s="4"/>
    </row>
    <row r="555" spans="1:3" ht="14.25" customHeight="1" x14ac:dyDescent="0.55000000000000004">
      <c r="A555" s="30"/>
      <c r="B555" s="11"/>
      <c r="C555" s="4"/>
    </row>
    <row r="556" spans="1:3" ht="14.25" customHeight="1" x14ac:dyDescent="0.55000000000000004">
      <c r="A556" s="30"/>
      <c r="B556" s="11"/>
      <c r="C556" s="4"/>
    </row>
    <row r="557" spans="1:3" ht="14.25" customHeight="1" x14ac:dyDescent="0.55000000000000004">
      <c r="A557" s="30"/>
      <c r="B557" s="11"/>
      <c r="C557" s="4"/>
    </row>
    <row r="558" spans="1:3" ht="14.25" customHeight="1" x14ac:dyDescent="0.55000000000000004">
      <c r="A558" s="30"/>
      <c r="B558" s="11"/>
      <c r="C558" s="4"/>
    </row>
    <row r="559" spans="1:3" ht="14.25" customHeight="1" x14ac:dyDescent="0.55000000000000004">
      <c r="A559" s="30"/>
      <c r="B559" s="11"/>
      <c r="C559" s="4"/>
    </row>
    <row r="560" spans="1:3" ht="14.25" customHeight="1" x14ac:dyDescent="0.55000000000000004">
      <c r="A560" s="30"/>
      <c r="B560" s="11"/>
      <c r="C560" s="4"/>
    </row>
    <row r="561" spans="1:3" ht="14.25" customHeight="1" x14ac:dyDescent="0.55000000000000004">
      <c r="A561" s="30"/>
      <c r="B561" s="11"/>
      <c r="C561" s="4"/>
    </row>
    <row r="562" spans="1:3" ht="14.25" customHeight="1" x14ac:dyDescent="0.55000000000000004">
      <c r="A562" s="30"/>
      <c r="B562" s="11"/>
      <c r="C562" s="4"/>
    </row>
    <row r="563" spans="1:3" ht="14.25" customHeight="1" x14ac:dyDescent="0.55000000000000004">
      <c r="A563" s="30"/>
      <c r="B563" s="11"/>
      <c r="C563" s="4"/>
    </row>
    <row r="564" spans="1:3" ht="14.25" customHeight="1" x14ac:dyDescent="0.55000000000000004">
      <c r="A564" s="30"/>
      <c r="B564" s="11"/>
      <c r="C564" s="4"/>
    </row>
    <row r="565" spans="1:3" ht="14.25" customHeight="1" x14ac:dyDescent="0.55000000000000004">
      <c r="A565" s="30"/>
      <c r="B565" s="11"/>
      <c r="C565" s="4"/>
    </row>
    <row r="566" spans="1:3" ht="14.25" customHeight="1" x14ac:dyDescent="0.55000000000000004">
      <c r="A566" s="30"/>
      <c r="B566" s="11"/>
      <c r="C566" s="4"/>
    </row>
    <row r="567" spans="1:3" ht="14.25" customHeight="1" x14ac:dyDescent="0.55000000000000004">
      <c r="A567" s="30"/>
      <c r="B567" s="11"/>
      <c r="C567" s="4"/>
    </row>
    <row r="568" spans="1:3" ht="14.25" customHeight="1" x14ac:dyDescent="0.55000000000000004">
      <c r="A568" s="30"/>
      <c r="B568" s="11"/>
      <c r="C568" s="4"/>
    </row>
    <row r="569" spans="1:3" ht="14.25" customHeight="1" x14ac:dyDescent="0.55000000000000004">
      <c r="A569" s="30"/>
      <c r="B569" s="11"/>
      <c r="C569" s="4"/>
    </row>
    <row r="570" spans="1:3" ht="14.25" customHeight="1" x14ac:dyDescent="0.55000000000000004">
      <c r="A570" s="30"/>
      <c r="B570" s="11"/>
      <c r="C570" s="4"/>
    </row>
    <row r="571" spans="1:3" ht="14.25" customHeight="1" x14ac:dyDescent="0.55000000000000004">
      <c r="A571" s="30"/>
      <c r="B571" s="11"/>
      <c r="C571" s="4"/>
    </row>
    <row r="572" spans="1:3" ht="14.25" customHeight="1" x14ac:dyDescent="0.55000000000000004">
      <c r="A572" s="30"/>
      <c r="B572" s="11"/>
      <c r="C572" s="4"/>
    </row>
    <row r="573" spans="1:3" ht="14.25" customHeight="1" x14ac:dyDescent="0.55000000000000004">
      <c r="A573" s="30"/>
      <c r="B573" s="11"/>
      <c r="C573" s="4"/>
    </row>
    <row r="574" spans="1:3" ht="14.25" customHeight="1" x14ac:dyDescent="0.55000000000000004">
      <c r="A574" s="30"/>
      <c r="B574" s="11"/>
      <c r="C574" s="4"/>
    </row>
    <row r="575" spans="1:3" ht="14.25" customHeight="1" x14ac:dyDescent="0.55000000000000004">
      <c r="A575" s="30"/>
      <c r="B575" s="11"/>
      <c r="C575" s="4"/>
    </row>
    <row r="576" spans="1:3" ht="14.25" customHeight="1" x14ac:dyDescent="0.55000000000000004">
      <c r="A576" s="30"/>
      <c r="B576" s="11"/>
      <c r="C576" s="4"/>
    </row>
    <row r="577" spans="1:3" ht="14.25" customHeight="1" x14ac:dyDescent="0.55000000000000004">
      <c r="A577" s="30"/>
      <c r="B577" s="11"/>
      <c r="C577" s="4"/>
    </row>
    <row r="578" spans="1:3" ht="14.25" customHeight="1" x14ac:dyDescent="0.55000000000000004">
      <c r="A578" s="30"/>
      <c r="B578" s="11"/>
      <c r="C578" s="4"/>
    </row>
    <row r="579" spans="1:3" ht="14.25" customHeight="1" x14ac:dyDescent="0.55000000000000004">
      <c r="A579" s="30"/>
      <c r="B579" s="11"/>
      <c r="C579" s="4"/>
    </row>
    <row r="580" spans="1:3" ht="14.25" customHeight="1" x14ac:dyDescent="0.55000000000000004">
      <c r="A580" s="30"/>
      <c r="B580" s="11"/>
      <c r="C580" s="4"/>
    </row>
    <row r="581" spans="1:3" ht="14.25" customHeight="1" x14ac:dyDescent="0.55000000000000004">
      <c r="A581" s="30"/>
      <c r="B581" s="11"/>
      <c r="C581" s="4"/>
    </row>
    <row r="582" spans="1:3" ht="14.25" customHeight="1" x14ac:dyDescent="0.55000000000000004">
      <c r="A582" s="30"/>
      <c r="B582" s="11"/>
      <c r="C582" s="4"/>
    </row>
    <row r="583" spans="1:3" ht="14.25" customHeight="1" x14ac:dyDescent="0.55000000000000004">
      <c r="A583" s="30"/>
      <c r="B583" s="11"/>
      <c r="C583" s="4"/>
    </row>
    <row r="584" spans="1:3" ht="14.25" customHeight="1" x14ac:dyDescent="0.55000000000000004">
      <c r="A584" s="30"/>
      <c r="B584" s="11"/>
      <c r="C584" s="4"/>
    </row>
    <row r="585" spans="1:3" ht="14.25" customHeight="1" x14ac:dyDescent="0.55000000000000004">
      <c r="A585" s="30"/>
      <c r="B585" s="11"/>
      <c r="C585" s="4"/>
    </row>
    <row r="586" spans="1:3" ht="14.25" customHeight="1" x14ac:dyDescent="0.55000000000000004">
      <c r="A586" s="30"/>
      <c r="B586" s="11"/>
      <c r="C586" s="4"/>
    </row>
    <row r="587" spans="1:3" ht="14.25" customHeight="1" x14ac:dyDescent="0.55000000000000004">
      <c r="A587" s="30"/>
      <c r="B587" s="11"/>
      <c r="C587" s="4"/>
    </row>
    <row r="588" spans="1:3" ht="14.25" customHeight="1" x14ac:dyDescent="0.55000000000000004">
      <c r="A588" s="30"/>
      <c r="B588" s="11"/>
      <c r="C588" s="4"/>
    </row>
    <row r="589" spans="1:3" ht="14.25" customHeight="1" x14ac:dyDescent="0.55000000000000004">
      <c r="A589" s="30"/>
      <c r="B589" s="11"/>
      <c r="C589" s="4"/>
    </row>
    <row r="590" spans="1:3" ht="14.25" customHeight="1" x14ac:dyDescent="0.55000000000000004">
      <c r="A590" s="30"/>
      <c r="B590" s="11"/>
      <c r="C590" s="4"/>
    </row>
    <row r="591" spans="1:3" ht="14.25" customHeight="1" x14ac:dyDescent="0.55000000000000004">
      <c r="A591" s="30"/>
      <c r="B591" s="11"/>
      <c r="C591" s="4"/>
    </row>
    <row r="592" spans="1:3" ht="14.25" customHeight="1" x14ac:dyDescent="0.55000000000000004">
      <c r="A592" s="30"/>
      <c r="B592" s="11"/>
      <c r="C592" s="4"/>
    </row>
    <row r="593" spans="1:3" ht="14.25" customHeight="1" x14ac:dyDescent="0.55000000000000004">
      <c r="A593" s="30"/>
      <c r="B593" s="11"/>
      <c r="C593" s="4"/>
    </row>
    <row r="594" spans="1:3" ht="14.25" customHeight="1" x14ac:dyDescent="0.55000000000000004">
      <c r="A594" s="30"/>
      <c r="B594" s="11"/>
      <c r="C594" s="4"/>
    </row>
    <row r="595" spans="1:3" ht="14.25" customHeight="1" x14ac:dyDescent="0.55000000000000004">
      <c r="A595" s="30"/>
      <c r="B595" s="11"/>
      <c r="C595" s="4"/>
    </row>
    <row r="596" spans="1:3" ht="14.25" customHeight="1" x14ac:dyDescent="0.55000000000000004">
      <c r="A596" s="30"/>
      <c r="B596" s="11"/>
      <c r="C596" s="4"/>
    </row>
    <row r="597" spans="1:3" ht="14.25" customHeight="1" x14ac:dyDescent="0.55000000000000004">
      <c r="A597" s="30"/>
      <c r="B597" s="11"/>
      <c r="C597" s="4"/>
    </row>
    <row r="598" spans="1:3" ht="14.25" customHeight="1" x14ac:dyDescent="0.55000000000000004">
      <c r="A598" s="30"/>
      <c r="B598" s="11"/>
      <c r="C598" s="4"/>
    </row>
    <row r="599" spans="1:3" ht="14.25" customHeight="1" x14ac:dyDescent="0.55000000000000004">
      <c r="A599" s="30"/>
      <c r="B599" s="11"/>
      <c r="C599" s="4"/>
    </row>
    <row r="600" spans="1:3" ht="14.25" customHeight="1" x14ac:dyDescent="0.55000000000000004">
      <c r="A600" s="30"/>
      <c r="B600" s="11"/>
      <c r="C600" s="4"/>
    </row>
    <row r="601" spans="1:3" ht="14.25" customHeight="1" x14ac:dyDescent="0.55000000000000004">
      <c r="A601" s="30"/>
      <c r="B601" s="11"/>
      <c r="C601" s="4"/>
    </row>
    <row r="602" spans="1:3" ht="14.25" customHeight="1" x14ac:dyDescent="0.55000000000000004">
      <c r="A602" s="30"/>
      <c r="B602" s="11"/>
      <c r="C602" s="4"/>
    </row>
    <row r="603" spans="1:3" ht="14.25" customHeight="1" x14ac:dyDescent="0.55000000000000004">
      <c r="A603" s="30"/>
      <c r="B603" s="11"/>
      <c r="C603" s="4"/>
    </row>
    <row r="604" spans="1:3" ht="14.25" customHeight="1" x14ac:dyDescent="0.55000000000000004">
      <c r="A604" s="30"/>
      <c r="B604" s="11"/>
      <c r="C604" s="4"/>
    </row>
    <row r="605" spans="1:3" ht="14.25" customHeight="1" x14ac:dyDescent="0.55000000000000004">
      <c r="A605" s="30"/>
      <c r="B605" s="11"/>
      <c r="C605" s="4"/>
    </row>
    <row r="606" spans="1:3" ht="14.25" customHeight="1" x14ac:dyDescent="0.55000000000000004">
      <c r="A606" s="30"/>
      <c r="B606" s="11"/>
      <c r="C606" s="4"/>
    </row>
    <row r="607" spans="1:3" ht="14.25" customHeight="1" x14ac:dyDescent="0.55000000000000004">
      <c r="A607" s="30"/>
      <c r="B607" s="11"/>
      <c r="C607" s="4"/>
    </row>
    <row r="608" spans="1:3" ht="14.25" customHeight="1" x14ac:dyDescent="0.55000000000000004">
      <c r="A608" s="30"/>
      <c r="B608" s="11"/>
      <c r="C608" s="4"/>
    </row>
    <row r="609" spans="1:3" ht="14.25" customHeight="1" x14ac:dyDescent="0.55000000000000004">
      <c r="A609" s="30"/>
      <c r="B609" s="11"/>
      <c r="C609" s="4"/>
    </row>
    <row r="610" spans="1:3" ht="14.25" customHeight="1" x14ac:dyDescent="0.55000000000000004">
      <c r="A610" s="30"/>
      <c r="B610" s="11"/>
      <c r="C610" s="4"/>
    </row>
    <row r="611" spans="1:3" ht="14.25" customHeight="1" x14ac:dyDescent="0.55000000000000004">
      <c r="A611" s="30"/>
      <c r="B611" s="11"/>
      <c r="C611" s="4"/>
    </row>
    <row r="612" spans="1:3" ht="14.25" customHeight="1" x14ac:dyDescent="0.55000000000000004">
      <c r="A612" s="30"/>
      <c r="B612" s="11"/>
      <c r="C612" s="4"/>
    </row>
    <row r="613" spans="1:3" ht="14.25" customHeight="1" x14ac:dyDescent="0.55000000000000004">
      <c r="A613" s="30"/>
      <c r="B613" s="11"/>
      <c r="C613" s="4"/>
    </row>
    <row r="614" spans="1:3" ht="14.25" customHeight="1" x14ac:dyDescent="0.55000000000000004">
      <c r="A614" s="30"/>
      <c r="B614" s="11"/>
      <c r="C614" s="4"/>
    </row>
    <row r="615" spans="1:3" ht="14.25" customHeight="1" x14ac:dyDescent="0.55000000000000004">
      <c r="A615" s="30"/>
      <c r="B615" s="11"/>
      <c r="C615" s="4"/>
    </row>
    <row r="616" spans="1:3" ht="14.25" customHeight="1" x14ac:dyDescent="0.55000000000000004">
      <c r="A616" s="30"/>
      <c r="B616" s="11"/>
      <c r="C616" s="4"/>
    </row>
    <row r="617" spans="1:3" ht="14.25" customHeight="1" x14ac:dyDescent="0.55000000000000004">
      <c r="A617" s="30"/>
      <c r="B617" s="11"/>
      <c r="C617" s="4"/>
    </row>
    <row r="618" spans="1:3" ht="14.25" customHeight="1" x14ac:dyDescent="0.55000000000000004">
      <c r="A618" s="30"/>
      <c r="B618" s="11"/>
      <c r="C618" s="4"/>
    </row>
    <row r="619" spans="1:3" ht="14.25" customHeight="1" x14ac:dyDescent="0.55000000000000004">
      <c r="A619" s="30"/>
      <c r="B619" s="11"/>
      <c r="C619" s="4"/>
    </row>
    <row r="620" spans="1:3" ht="14.25" customHeight="1" x14ac:dyDescent="0.55000000000000004">
      <c r="A620" s="30"/>
      <c r="B620" s="11"/>
      <c r="C620" s="4"/>
    </row>
    <row r="621" spans="1:3" ht="14.25" customHeight="1" x14ac:dyDescent="0.55000000000000004">
      <c r="A621" s="30"/>
      <c r="B621" s="11"/>
      <c r="C621" s="4"/>
    </row>
    <row r="622" spans="1:3" ht="14.25" customHeight="1" x14ac:dyDescent="0.55000000000000004">
      <c r="A622" s="30"/>
      <c r="B622" s="11"/>
      <c r="C622" s="4"/>
    </row>
    <row r="623" spans="1:3" ht="14.25" customHeight="1" x14ac:dyDescent="0.55000000000000004">
      <c r="A623" s="30"/>
      <c r="B623" s="11"/>
      <c r="C623" s="4"/>
    </row>
    <row r="624" spans="1:3" ht="14.25" customHeight="1" x14ac:dyDescent="0.55000000000000004">
      <c r="A624" s="30"/>
      <c r="B624" s="11"/>
      <c r="C624" s="4"/>
    </row>
    <row r="625" spans="1:3" ht="14.25" customHeight="1" x14ac:dyDescent="0.55000000000000004">
      <c r="A625" s="30"/>
      <c r="B625" s="11"/>
      <c r="C625" s="4"/>
    </row>
    <row r="626" spans="1:3" ht="14.25" customHeight="1" x14ac:dyDescent="0.55000000000000004">
      <c r="A626" s="30"/>
      <c r="B626" s="11"/>
      <c r="C626" s="4"/>
    </row>
    <row r="627" spans="1:3" ht="14.25" customHeight="1" x14ac:dyDescent="0.55000000000000004">
      <c r="A627" s="30"/>
      <c r="B627" s="11"/>
      <c r="C627" s="4"/>
    </row>
    <row r="628" spans="1:3" ht="14.25" customHeight="1" x14ac:dyDescent="0.55000000000000004">
      <c r="A628" s="30"/>
      <c r="B628" s="11"/>
      <c r="C628" s="4"/>
    </row>
    <row r="629" spans="1:3" ht="14.25" customHeight="1" x14ac:dyDescent="0.55000000000000004">
      <c r="A629" s="30"/>
      <c r="B629" s="11"/>
      <c r="C629" s="4"/>
    </row>
    <row r="630" spans="1:3" ht="14.25" customHeight="1" x14ac:dyDescent="0.55000000000000004">
      <c r="A630" s="30"/>
      <c r="B630" s="11"/>
      <c r="C630" s="4"/>
    </row>
    <row r="631" spans="1:3" ht="14.25" customHeight="1" x14ac:dyDescent="0.55000000000000004">
      <c r="A631" s="30"/>
      <c r="B631" s="11"/>
      <c r="C631" s="4"/>
    </row>
    <row r="632" spans="1:3" ht="14.25" customHeight="1" x14ac:dyDescent="0.55000000000000004">
      <c r="A632" s="30"/>
      <c r="B632" s="11"/>
      <c r="C632" s="4"/>
    </row>
    <row r="633" spans="1:3" ht="14.25" customHeight="1" x14ac:dyDescent="0.55000000000000004">
      <c r="A633" s="30"/>
      <c r="B633" s="11"/>
      <c r="C633" s="4"/>
    </row>
    <row r="634" spans="1:3" ht="14.25" customHeight="1" x14ac:dyDescent="0.55000000000000004">
      <c r="A634" s="30"/>
      <c r="B634" s="11"/>
      <c r="C634" s="4"/>
    </row>
    <row r="635" spans="1:3" ht="14.25" customHeight="1" x14ac:dyDescent="0.55000000000000004">
      <c r="A635" s="30"/>
      <c r="B635" s="11"/>
      <c r="C635" s="4"/>
    </row>
    <row r="636" spans="1:3" ht="14.25" customHeight="1" x14ac:dyDescent="0.55000000000000004">
      <c r="A636" s="30"/>
      <c r="B636" s="11"/>
      <c r="C636" s="4"/>
    </row>
    <row r="637" spans="1:3" ht="14.25" customHeight="1" x14ac:dyDescent="0.55000000000000004">
      <c r="A637" s="30"/>
      <c r="B637" s="11"/>
      <c r="C637" s="4"/>
    </row>
    <row r="638" spans="1:3" ht="14.25" customHeight="1" x14ac:dyDescent="0.55000000000000004">
      <c r="A638" s="30"/>
      <c r="B638" s="11"/>
      <c r="C638" s="4"/>
    </row>
    <row r="639" spans="1:3" ht="14.25" customHeight="1" x14ac:dyDescent="0.55000000000000004">
      <c r="A639" s="30"/>
      <c r="B639" s="11"/>
      <c r="C639" s="4"/>
    </row>
    <row r="640" spans="1:3" ht="14.25" customHeight="1" x14ac:dyDescent="0.55000000000000004">
      <c r="A640" s="30"/>
      <c r="B640" s="11"/>
      <c r="C640" s="4"/>
    </row>
    <row r="641" spans="1:3" ht="14.25" customHeight="1" x14ac:dyDescent="0.55000000000000004">
      <c r="A641" s="30"/>
      <c r="B641" s="11"/>
      <c r="C641" s="4"/>
    </row>
    <row r="642" spans="1:3" ht="14.25" customHeight="1" x14ac:dyDescent="0.55000000000000004">
      <c r="A642" s="30"/>
      <c r="B642" s="11"/>
      <c r="C642" s="4"/>
    </row>
    <row r="643" spans="1:3" ht="14.25" customHeight="1" x14ac:dyDescent="0.55000000000000004">
      <c r="A643" s="30"/>
      <c r="B643" s="11"/>
      <c r="C643" s="4"/>
    </row>
    <row r="644" spans="1:3" ht="14.25" customHeight="1" x14ac:dyDescent="0.55000000000000004">
      <c r="A644" s="30"/>
      <c r="B644" s="11"/>
      <c r="C644" s="4"/>
    </row>
    <row r="645" spans="1:3" ht="14.25" customHeight="1" x14ac:dyDescent="0.55000000000000004">
      <c r="A645" s="30"/>
      <c r="B645" s="11"/>
      <c r="C645" s="4"/>
    </row>
    <row r="646" spans="1:3" ht="14.25" customHeight="1" x14ac:dyDescent="0.55000000000000004">
      <c r="A646" s="30"/>
      <c r="B646" s="11"/>
      <c r="C646" s="4"/>
    </row>
    <row r="647" spans="1:3" ht="14.25" customHeight="1" x14ac:dyDescent="0.55000000000000004">
      <c r="A647" s="30"/>
      <c r="B647" s="11"/>
      <c r="C647" s="4"/>
    </row>
    <row r="648" spans="1:3" ht="14.25" customHeight="1" x14ac:dyDescent="0.55000000000000004">
      <c r="A648" s="30"/>
      <c r="B648" s="11"/>
      <c r="C648" s="4"/>
    </row>
    <row r="649" spans="1:3" ht="14.25" customHeight="1" x14ac:dyDescent="0.55000000000000004">
      <c r="A649" s="30"/>
      <c r="B649" s="11"/>
      <c r="C649" s="4"/>
    </row>
    <row r="650" spans="1:3" ht="14.25" customHeight="1" x14ac:dyDescent="0.55000000000000004">
      <c r="A650" s="30"/>
      <c r="B650" s="11"/>
      <c r="C650" s="4"/>
    </row>
    <row r="651" spans="1:3" ht="14.25" customHeight="1" x14ac:dyDescent="0.55000000000000004">
      <c r="A651" s="30"/>
      <c r="B651" s="11"/>
      <c r="C651" s="4"/>
    </row>
    <row r="652" spans="1:3" ht="14.25" customHeight="1" x14ac:dyDescent="0.55000000000000004">
      <c r="A652" s="30"/>
      <c r="B652" s="11"/>
      <c r="C652" s="4"/>
    </row>
    <row r="653" spans="1:3" ht="14.25" customHeight="1" x14ac:dyDescent="0.55000000000000004">
      <c r="A653" s="30"/>
      <c r="B653" s="11"/>
      <c r="C653" s="4"/>
    </row>
    <row r="654" spans="1:3" ht="14.25" customHeight="1" x14ac:dyDescent="0.55000000000000004">
      <c r="A654" s="30"/>
      <c r="B654" s="11"/>
      <c r="C654" s="4"/>
    </row>
    <row r="655" spans="1:3" ht="14.25" customHeight="1" x14ac:dyDescent="0.55000000000000004">
      <c r="A655" s="30"/>
      <c r="B655" s="11"/>
      <c r="C655" s="4"/>
    </row>
    <row r="656" spans="1:3" ht="14.25" customHeight="1" x14ac:dyDescent="0.55000000000000004">
      <c r="A656" s="30"/>
      <c r="B656" s="11"/>
      <c r="C656" s="4"/>
    </row>
    <row r="657" spans="1:3" ht="14.25" customHeight="1" x14ac:dyDescent="0.55000000000000004">
      <c r="A657" s="30"/>
      <c r="B657" s="11"/>
      <c r="C657" s="4"/>
    </row>
    <row r="658" spans="1:3" ht="14.25" customHeight="1" x14ac:dyDescent="0.55000000000000004">
      <c r="A658" s="30"/>
      <c r="B658" s="11"/>
      <c r="C658" s="4"/>
    </row>
    <row r="659" spans="1:3" ht="14.25" customHeight="1" x14ac:dyDescent="0.55000000000000004">
      <c r="A659" s="30"/>
      <c r="B659" s="11"/>
      <c r="C659" s="4"/>
    </row>
    <row r="660" spans="1:3" ht="14.25" customHeight="1" x14ac:dyDescent="0.55000000000000004">
      <c r="A660" s="30"/>
      <c r="B660" s="11"/>
      <c r="C660" s="4"/>
    </row>
    <row r="661" spans="1:3" ht="14.25" customHeight="1" x14ac:dyDescent="0.55000000000000004">
      <c r="A661" s="30"/>
      <c r="B661" s="11"/>
      <c r="C661" s="4"/>
    </row>
    <row r="662" spans="1:3" ht="14.25" customHeight="1" x14ac:dyDescent="0.55000000000000004">
      <c r="A662" s="30"/>
      <c r="B662" s="11"/>
      <c r="C662" s="4"/>
    </row>
    <row r="663" spans="1:3" ht="14.25" customHeight="1" x14ac:dyDescent="0.55000000000000004">
      <c r="A663" s="30"/>
      <c r="B663" s="11"/>
      <c r="C663" s="4"/>
    </row>
    <row r="664" spans="1:3" ht="14.25" customHeight="1" x14ac:dyDescent="0.55000000000000004">
      <c r="A664" s="30"/>
      <c r="B664" s="11"/>
      <c r="C664" s="4"/>
    </row>
    <row r="665" spans="1:3" ht="14.25" customHeight="1" x14ac:dyDescent="0.55000000000000004">
      <c r="A665" s="30"/>
      <c r="B665" s="11"/>
      <c r="C665" s="4"/>
    </row>
    <row r="666" spans="1:3" ht="14.25" customHeight="1" x14ac:dyDescent="0.55000000000000004">
      <c r="A666" s="30"/>
      <c r="B666" s="11"/>
      <c r="C666" s="4"/>
    </row>
    <row r="667" spans="1:3" ht="14.25" customHeight="1" x14ac:dyDescent="0.55000000000000004">
      <c r="A667" s="30"/>
      <c r="B667" s="11"/>
      <c r="C667" s="4"/>
    </row>
    <row r="668" spans="1:3" ht="14.25" customHeight="1" x14ac:dyDescent="0.55000000000000004">
      <c r="A668" s="30"/>
      <c r="B668" s="11"/>
      <c r="C668" s="4"/>
    </row>
    <row r="669" spans="1:3" ht="14.25" customHeight="1" x14ac:dyDescent="0.55000000000000004">
      <c r="A669" s="30"/>
      <c r="B669" s="11"/>
      <c r="C669" s="4"/>
    </row>
    <row r="670" spans="1:3" ht="14.25" customHeight="1" x14ac:dyDescent="0.55000000000000004">
      <c r="A670" s="30"/>
      <c r="B670" s="11"/>
      <c r="C670" s="4"/>
    </row>
    <row r="671" spans="1:3" ht="14.25" customHeight="1" x14ac:dyDescent="0.55000000000000004">
      <c r="A671" s="30"/>
      <c r="B671" s="11"/>
      <c r="C671" s="4"/>
    </row>
    <row r="672" spans="1:3" ht="14.25" customHeight="1" x14ac:dyDescent="0.55000000000000004">
      <c r="A672" s="30"/>
      <c r="B672" s="11"/>
      <c r="C672" s="4"/>
    </row>
    <row r="673" spans="1:3" ht="14.25" customHeight="1" x14ac:dyDescent="0.55000000000000004">
      <c r="A673" s="30"/>
      <c r="B673" s="11"/>
      <c r="C673" s="4"/>
    </row>
    <row r="674" spans="1:3" ht="14.25" customHeight="1" x14ac:dyDescent="0.55000000000000004">
      <c r="A674" s="30"/>
      <c r="B674" s="11"/>
      <c r="C674" s="4"/>
    </row>
    <row r="675" spans="1:3" ht="14.25" customHeight="1" x14ac:dyDescent="0.55000000000000004">
      <c r="A675" s="30"/>
      <c r="B675" s="11"/>
      <c r="C675" s="4"/>
    </row>
    <row r="676" spans="1:3" ht="14.25" customHeight="1" x14ac:dyDescent="0.55000000000000004">
      <c r="A676" s="30"/>
      <c r="B676" s="11"/>
      <c r="C676" s="4"/>
    </row>
    <row r="677" spans="1:3" ht="14.25" customHeight="1" x14ac:dyDescent="0.55000000000000004">
      <c r="A677" s="30"/>
      <c r="B677" s="11"/>
      <c r="C677" s="4"/>
    </row>
    <row r="678" spans="1:3" ht="14.25" customHeight="1" x14ac:dyDescent="0.55000000000000004">
      <c r="A678" s="30"/>
      <c r="B678" s="11"/>
      <c r="C678" s="4"/>
    </row>
    <row r="679" spans="1:3" ht="14.25" customHeight="1" x14ac:dyDescent="0.55000000000000004">
      <c r="A679" s="30"/>
      <c r="B679" s="11"/>
      <c r="C679" s="4"/>
    </row>
    <row r="680" spans="1:3" ht="14.25" customHeight="1" x14ac:dyDescent="0.55000000000000004">
      <c r="A680" s="30"/>
      <c r="B680" s="11"/>
      <c r="C680" s="4"/>
    </row>
    <row r="681" spans="1:3" ht="14.25" customHeight="1" x14ac:dyDescent="0.55000000000000004">
      <c r="A681" s="30"/>
      <c r="B681" s="11"/>
      <c r="C681" s="4"/>
    </row>
    <row r="682" spans="1:3" ht="14.25" customHeight="1" x14ac:dyDescent="0.55000000000000004">
      <c r="A682" s="30"/>
      <c r="B682" s="11"/>
      <c r="C682" s="4"/>
    </row>
    <row r="683" spans="1:3" ht="14.25" customHeight="1" x14ac:dyDescent="0.55000000000000004">
      <c r="A683" s="30"/>
      <c r="B683" s="11"/>
      <c r="C683" s="4"/>
    </row>
    <row r="684" spans="1:3" ht="14.25" customHeight="1" x14ac:dyDescent="0.55000000000000004">
      <c r="A684" s="30"/>
      <c r="B684" s="11"/>
      <c r="C684" s="4"/>
    </row>
    <row r="685" spans="1:3" ht="14.25" customHeight="1" x14ac:dyDescent="0.55000000000000004">
      <c r="A685" s="30"/>
      <c r="B685" s="11"/>
      <c r="C685" s="4"/>
    </row>
    <row r="686" spans="1:3" ht="14.25" customHeight="1" x14ac:dyDescent="0.55000000000000004">
      <c r="A686" s="30"/>
      <c r="B686" s="11"/>
      <c r="C686" s="4"/>
    </row>
    <row r="687" spans="1:3" ht="14.25" customHeight="1" x14ac:dyDescent="0.55000000000000004">
      <c r="A687" s="30"/>
      <c r="B687" s="11"/>
      <c r="C687" s="4"/>
    </row>
    <row r="688" spans="1:3" ht="14.25" customHeight="1" x14ac:dyDescent="0.55000000000000004">
      <c r="A688" s="30"/>
      <c r="B688" s="11"/>
      <c r="C688" s="4"/>
    </row>
    <row r="689" spans="1:3" ht="14.25" customHeight="1" x14ac:dyDescent="0.55000000000000004">
      <c r="A689" s="30"/>
      <c r="B689" s="11"/>
      <c r="C689" s="4"/>
    </row>
    <row r="690" spans="1:3" ht="14.25" customHeight="1" x14ac:dyDescent="0.55000000000000004">
      <c r="A690" s="30"/>
      <c r="B690" s="11"/>
      <c r="C690" s="4"/>
    </row>
    <row r="691" spans="1:3" ht="14.25" customHeight="1" x14ac:dyDescent="0.55000000000000004">
      <c r="A691" s="30"/>
      <c r="B691" s="11"/>
      <c r="C691" s="4"/>
    </row>
    <row r="692" spans="1:3" ht="14.25" customHeight="1" x14ac:dyDescent="0.55000000000000004">
      <c r="A692" s="30"/>
      <c r="B692" s="11"/>
      <c r="C692" s="4"/>
    </row>
    <row r="693" spans="1:3" ht="14.25" customHeight="1" x14ac:dyDescent="0.55000000000000004">
      <c r="A693" s="30"/>
      <c r="B693" s="11"/>
      <c r="C693" s="4"/>
    </row>
    <row r="694" spans="1:3" ht="14.25" customHeight="1" x14ac:dyDescent="0.55000000000000004">
      <c r="A694" s="30"/>
      <c r="B694" s="11"/>
      <c r="C694" s="4"/>
    </row>
    <row r="695" spans="1:3" ht="14.25" customHeight="1" x14ac:dyDescent="0.55000000000000004">
      <c r="A695" s="30"/>
      <c r="B695" s="11"/>
      <c r="C695" s="4"/>
    </row>
    <row r="696" spans="1:3" ht="14.25" customHeight="1" x14ac:dyDescent="0.55000000000000004">
      <c r="A696" s="30"/>
      <c r="B696" s="11"/>
      <c r="C696" s="4"/>
    </row>
    <row r="697" spans="1:3" ht="14.25" customHeight="1" x14ac:dyDescent="0.55000000000000004">
      <c r="A697" s="30"/>
      <c r="B697" s="11"/>
      <c r="C697" s="4"/>
    </row>
    <row r="698" spans="1:3" ht="14.25" customHeight="1" x14ac:dyDescent="0.55000000000000004">
      <c r="A698" s="30"/>
      <c r="B698" s="11"/>
      <c r="C698" s="4"/>
    </row>
    <row r="699" spans="1:3" ht="14.25" customHeight="1" x14ac:dyDescent="0.55000000000000004">
      <c r="A699" s="30"/>
      <c r="B699" s="11"/>
      <c r="C699" s="4"/>
    </row>
    <row r="700" spans="1:3" ht="14.25" customHeight="1" x14ac:dyDescent="0.55000000000000004">
      <c r="A700" s="30"/>
      <c r="B700" s="11"/>
      <c r="C700" s="4"/>
    </row>
    <row r="701" spans="1:3" ht="14.25" customHeight="1" x14ac:dyDescent="0.55000000000000004">
      <c r="A701" s="30"/>
      <c r="B701" s="11"/>
      <c r="C701" s="4"/>
    </row>
    <row r="702" spans="1:3" ht="14.25" customHeight="1" x14ac:dyDescent="0.55000000000000004">
      <c r="A702" s="30"/>
      <c r="B702" s="11"/>
      <c r="C702" s="4"/>
    </row>
    <row r="703" spans="1:3" ht="14.25" customHeight="1" x14ac:dyDescent="0.55000000000000004">
      <c r="A703" s="30"/>
      <c r="B703" s="11"/>
      <c r="C703" s="4"/>
    </row>
    <row r="704" spans="1:3" ht="14.25" customHeight="1" x14ac:dyDescent="0.55000000000000004">
      <c r="A704" s="30"/>
      <c r="B704" s="11"/>
      <c r="C704" s="4"/>
    </row>
    <row r="705" spans="1:3" ht="14.25" customHeight="1" x14ac:dyDescent="0.55000000000000004">
      <c r="A705" s="30"/>
      <c r="B705" s="11"/>
      <c r="C705" s="4"/>
    </row>
    <row r="706" spans="1:3" ht="14.25" customHeight="1" x14ac:dyDescent="0.55000000000000004">
      <c r="A706" s="30"/>
      <c r="B706" s="11"/>
      <c r="C706" s="4"/>
    </row>
    <row r="707" spans="1:3" ht="14.25" customHeight="1" x14ac:dyDescent="0.55000000000000004">
      <c r="A707" s="30"/>
      <c r="B707" s="11"/>
      <c r="C707" s="4"/>
    </row>
    <row r="708" spans="1:3" ht="14.25" customHeight="1" x14ac:dyDescent="0.55000000000000004">
      <c r="A708" s="30"/>
      <c r="B708" s="11"/>
      <c r="C708" s="4"/>
    </row>
    <row r="709" spans="1:3" ht="14.25" customHeight="1" x14ac:dyDescent="0.55000000000000004">
      <c r="A709" s="30"/>
      <c r="B709" s="11"/>
      <c r="C709" s="4"/>
    </row>
    <row r="710" spans="1:3" ht="14.25" customHeight="1" x14ac:dyDescent="0.55000000000000004">
      <c r="A710" s="30"/>
      <c r="B710" s="11"/>
      <c r="C710" s="4"/>
    </row>
    <row r="711" spans="1:3" ht="14.25" customHeight="1" x14ac:dyDescent="0.55000000000000004">
      <c r="A711" s="30"/>
      <c r="B711" s="11"/>
      <c r="C711" s="4"/>
    </row>
    <row r="712" spans="1:3" ht="14.25" customHeight="1" x14ac:dyDescent="0.55000000000000004">
      <c r="A712" s="30"/>
      <c r="B712" s="11"/>
      <c r="C712" s="4"/>
    </row>
    <row r="713" spans="1:3" ht="14.25" customHeight="1" x14ac:dyDescent="0.55000000000000004">
      <c r="A713" s="30"/>
      <c r="B713" s="11"/>
      <c r="C713" s="4"/>
    </row>
    <row r="714" spans="1:3" ht="14.25" customHeight="1" x14ac:dyDescent="0.55000000000000004">
      <c r="A714" s="30"/>
      <c r="B714" s="11"/>
      <c r="C714" s="4"/>
    </row>
    <row r="715" spans="1:3" ht="14.25" customHeight="1" x14ac:dyDescent="0.55000000000000004">
      <c r="A715" s="30"/>
      <c r="B715" s="11"/>
      <c r="C715" s="4"/>
    </row>
    <row r="716" spans="1:3" ht="14.25" customHeight="1" x14ac:dyDescent="0.55000000000000004">
      <c r="A716" s="30"/>
      <c r="B716" s="11"/>
      <c r="C716" s="4"/>
    </row>
    <row r="717" spans="1:3" ht="14.25" customHeight="1" x14ac:dyDescent="0.55000000000000004">
      <c r="A717" s="30"/>
      <c r="B717" s="11"/>
      <c r="C717" s="4"/>
    </row>
    <row r="718" spans="1:3" ht="14.25" customHeight="1" x14ac:dyDescent="0.55000000000000004">
      <c r="A718" s="30"/>
      <c r="B718" s="11"/>
      <c r="C718" s="4"/>
    </row>
    <row r="719" spans="1:3" ht="14.25" customHeight="1" x14ac:dyDescent="0.55000000000000004">
      <c r="A719" s="30"/>
      <c r="B719" s="11"/>
      <c r="C719" s="4"/>
    </row>
    <row r="720" spans="1:3" ht="14.25" customHeight="1" x14ac:dyDescent="0.55000000000000004">
      <c r="A720" s="30"/>
      <c r="B720" s="11"/>
      <c r="C720" s="4"/>
    </row>
    <row r="721" spans="1:3" ht="14.25" customHeight="1" x14ac:dyDescent="0.55000000000000004">
      <c r="A721" s="30"/>
      <c r="B721" s="11"/>
      <c r="C721" s="4"/>
    </row>
    <row r="722" spans="1:3" ht="14.25" customHeight="1" x14ac:dyDescent="0.55000000000000004">
      <c r="A722" s="30"/>
      <c r="B722" s="11"/>
      <c r="C722" s="4"/>
    </row>
    <row r="723" spans="1:3" ht="14.25" customHeight="1" x14ac:dyDescent="0.55000000000000004">
      <c r="A723" s="30"/>
      <c r="B723" s="11"/>
      <c r="C723" s="4"/>
    </row>
    <row r="724" spans="1:3" ht="14.25" customHeight="1" x14ac:dyDescent="0.55000000000000004">
      <c r="A724" s="30"/>
      <c r="B724" s="11"/>
      <c r="C724" s="4"/>
    </row>
    <row r="725" spans="1:3" ht="14.25" customHeight="1" x14ac:dyDescent="0.55000000000000004">
      <c r="A725" s="30"/>
      <c r="B725" s="11"/>
      <c r="C725" s="4"/>
    </row>
    <row r="726" spans="1:3" ht="14.25" customHeight="1" x14ac:dyDescent="0.55000000000000004">
      <c r="A726" s="30"/>
      <c r="B726" s="11"/>
      <c r="C726" s="4"/>
    </row>
    <row r="727" spans="1:3" ht="14.25" customHeight="1" x14ac:dyDescent="0.55000000000000004">
      <c r="A727" s="30"/>
      <c r="B727" s="11"/>
      <c r="C727" s="4"/>
    </row>
    <row r="728" spans="1:3" ht="14.25" customHeight="1" x14ac:dyDescent="0.55000000000000004">
      <c r="A728" s="30"/>
      <c r="B728" s="11"/>
      <c r="C728" s="4"/>
    </row>
    <row r="729" spans="1:3" ht="14.25" customHeight="1" x14ac:dyDescent="0.55000000000000004">
      <c r="A729" s="30"/>
      <c r="B729" s="11"/>
      <c r="C729" s="4"/>
    </row>
    <row r="730" spans="1:3" ht="14.25" customHeight="1" x14ac:dyDescent="0.55000000000000004">
      <c r="A730" s="30"/>
      <c r="B730" s="11"/>
      <c r="C730" s="4"/>
    </row>
    <row r="731" spans="1:3" ht="14.25" customHeight="1" x14ac:dyDescent="0.55000000000000004">
      <c r="A731" s="30"/>
      <c r="B731" s="11"/>
      <c r="C731" s="4"/>
    </row>
    <row r="732" spans="1:3" ht="14.25" customHeight="1" x14ac:dyDescent="0.55000000000000004">
      <c r="A732" s="30"/>
      <c r="B732" s="11"/>
      <c r="C732" s="4"/>
    </row>
    <row r="733" spans="1:3" ht="14.25" customHeight="1" x14ac:dyDescent="0.55000000000000004">
      <c r="A733" s="30"/>
      <c r="B733" s="11"/>
      <c r="C733" s="4"/>
    </row>
    <row r="734" spans="1:3" ht="14.25" customHeight="1" x14ac:dyDescent="0.55000000000000004">
      <c r="A734" s="30"/>
      <c r="B734" s="11"/>
      <c r="C734" s="4"/>
    </row>
    <row r="735" spans="1:3" ht="14.25" customHeight="1" x14ac:dyDescent="0.55000000000000004">
      <c r="A735" s="30"/>
      <c r="B735" s="11"/>
      <c r="C735" s="4"/>
    </row>
    <row r="736" spans="1:3" ht="14.25" customHeight="1" x14ac:dyDescent="0.55000000000000004">
      <c r="A736" s="30"/>
      <c r="B736" s="11"/>
      <c r="C736" s="4"/>
    </row>
    <row r="737" spans="1:3" ht="14.25" customHeight="1" x14ac:dyDescent="0.55000000000000004">
      <c r="A737" s="30"/>
      <c r="B737" s="11"/>
      <c r="C737" s="4"/>
    </row>
    <row r="738" spans="1:3" ht="14.25" customHeight="1" x14ac:dyDescent="0.55000000000000004">
      <c r="A738" s="30"/>
      <c r="B738" s="11"/>
      <c r="C738" s="4"/>
    </row>
    <row r="739" spans="1:3" ht="14.25" customHeight="1" x14ac:dyDescent="0.55000000000000004">
      <c r="A739" s="30"/>
      <c r="B739" s="11"/>
      <c r="C739" s="4"/>
    </row>
    <row r="740" spans="1:3" ht="14.25" customHeight="1" x14ac:dyDescent="0.55000000000000004">
      <c r="A740" s="30"/>
      <c r="B740" s="11"/>
      <c r="C740" s="4"/>
    </row>
    <row r="741" spans="1:3" ht="14.25" customHeight="1" x14ac:dyDescent="0.55000000000000004">
      <c r="A741" s="30"/>
      <c r="B741" s="11"/>
      <c r="C741" s="4"/>
    </row>
    <row r="742" spans="1:3" ht="14.25" customHeight="1" x14ac:dyDescent="0.55000000000000004">
      <c r="A742" s="30"/>
      <c r="B742" s="11"/>
      <c r="C742" s="4"/>
    </row>
    <row r="743" spans="1:3" ht="14.25" customHeight="1" x14ac:dyDescent="0.55000000000000004">
      <c r="A743" s="30"/>
      <c r="B743" s="11"/>
      <c r="C743" s="4"/>
    </row>
    <row r="744" spans="1:3" ht="14.25" customHeight="1" x14ac:dyDescent="0.55000000000000004">
      <c r="A744" s="30"/>
      <c r="B744" s="11"/>
      <c r="C744" s="4"/>
    </row>
    <row r="745" spans="1:3" ht="14.25" customHeight="1" x14ac:dyDescent="0.55000000000000004">
      <c r="A745" s="30"/>
      <c r="B745" s="11"/>
      <c r="C745" s="4"/>
    </row>
    <row r="746" spans="1:3" ht="14.25" customHeight="1" x14ac:dyDescent="0.55000000000000004">
      <c r="A746" s="30"/>
      <c r="B746" s="11"/>
      <c r="C746" s="4"/>
    </row>
    <row r="747" spans="1:3" ht="14.25" customHeight="1" x14ac:dyDescent="0.55000000000000004">
      <c r="A747" s="30"/>
      <c r="B747" s="11"/>
      <c r="C747" s="4"/>
    </row>
    <row r="748" spans="1:3" ht="14.25" customHeight="1" x14ac:dyDescent="0.55000000000000004">
      <c r="A748" s="30"/>
      <c r="B748" s="11"/>
      <c r="C748" s="4"/>
    </row>
    <row r="749" spans="1:3" ht="14.25" customHeight="1" x14ac:dyDescent="0.55000000000000004">
      <c r="A749" s="30"/>
      <c r="B749" s="11"/>
      <c r="C749" s="4"/>
    </row>
    <row r="750" spans="1:3" ht="14.25" customHeight="1" x14ac:dyDescent="0.55000000000000004">
      <c r="A750" s="30"/>
      <c r="B750" s="11"/>
      <c r="C750" s="4"/>
    </row>
    <row r="751" spans="1:3" ht="14.25" customHeight="1" x14ac:dyDescent="0.55000000000000004">
      <c r="A751" s="30"/>
      <c r="B751" s="11"/>
      <c r="C751" s="4"/>
    </row>
    <row r="752" spans="1:3" ht="14.25" customHeight="1" x14ac:dyDescent="0.55000000000000004">
      <c r="A752" s="30"/>
      <c r="B752" s="11"/>
      <c r="C752" s="4"/>
    </row>
    <row r="753" spans="1:3" ht="14.25" customHeight="1" x14ac:dyDescent="0.55000000000000004">
      <c r="A753" s="30"/>
      <c r="B753" s="11"/>
      <c r="C753" s="4"/>
    </row>
    <row r="754" spans="1:3" ht="14.25" customHeight="1" x14ac:dyDescent="0.55000000000000004">
      <c r="A754" s="30"/>
      <c r="B754" s="11"/>
      <c r="C754" s="4"/>
    </row>
    <row r="755" spans="1:3" ht="14.25" customHeight="1" x14ac:dyDescent="0.55000000000000004">
      <c r="A755" s="30"/>
      <c r="B755" s="11"/>
      <c r="C755" s="4"/>
    </row>
    <row r="756" spans="1:3" ht="14.25" customHeight="1" x14ac:dyDescent="0.55000000000000004">
      <c r="A756" s="30"/>
      <c r="B756" s="11"/>
      <c r="C756" s="4"/>
    </row>
    <row r="757" spans="1:3" ht="14.25" customHeight="1" x14ac:dyDescent="0.55000000000000004">
      <c r="A757" s="30"/>
      <c r="B757" s="11"/>
      <c r="C757" s="4"/>
    </row>
    <row r="758" spans="1:3" ht="14.25" customHeight="1" x14ac:dyDescent="0.55000000000000004">
      <c r="A758" s="30"/>
      <c r="B758" s="11"/>
      <c r="C758" s="4"/>
    </row>
    <row r="759" spans="1:3" ht="14.25" customHeight="1" x14ac:dyDescent="0.55000000000000004">
      <c r="A759" s="30"/>
      <c r="B759" s="11"/>
      <c r="C759" s="4"/>
    </row>
    <row r="760" spans="1:3" ht="14.25" customHeight="1" x14ac:dyDescent="0.55000000000000004">
      <c r="A760" s="30"/>
      <c r="B760" s="11"/>
      <c r="C760" s="4"/>
    </row>
    <row r="761" spans="1:3" ht="14.25" customHeight="1" x14ac:dyDescent="0.55000000000000004">
      <c r="A761" s="30"/>
      <c r="B761" s="11"/>
      <c r="C761" s="4"/>
    </row>
    <row r="762" spans="1:3" ht="14.25" customHeight="1" x14ac:dyDescent="0.55000000000000004">
      <c r="A762" s="30"/>
      <c r="B762" s="11"/>
      <c r="C762" s="4"/>
    </row>
    <row r="763" spans="1:3" ht="14.25" customHeight="1" x14ac:dyDescent="0.55000000000000004">
      <c r="A763" s="30"/>
      <c r="B763" s="11"/>
      <c r="C763" s="4"/>
    </row>
    <row r="764" spans="1:3" ht="14.25" customHeight="1" x14ac:dyDescent="0.55000000000000004">
      <c r="A764" s="30"/>
      <c r="B764" s="11"/>
      <c r="C764" s="4"/>
    </row>
    <row r="765" spans="1:3" ht="14.25" customHeight="1" x14ac:dyDescent="0.55000000000000004">
      <c r="A765" s="30"/>
      <c r="B765" s="11"/>
      <c r="C765" s="4"/>
    </row>
    <row r="766" spans="1:3" ht="14.25" customHeight="1" x14ac:dyDescent="0.55000000000000004">
      <c r="A766" s="30"/>
      <c r="B766" s="11"/>
      <c r="C766" s="4"/>
    </row>
    <row r="767" spans="1:3" ht="14.25" customHeight="1" x14ac:dyDescent="0.55000000000000004">
      <c r="A767" s="30"/>
      <c r="B767" s="11"/>
      <c r="C767" s="4"/>
    </row>
    <row r="768" spans="1:3" ht="14.25" customHeight="1" x14ac:dyDescent="0.55000000000000004">
      <c r="A768" s="30"/>
      <c r="B768" s="11"/>
      <c r="C768" s="4"/>
    </row>
    <row r="769" spans="1:3" ht="14.25" customHeight="1" x14ac:dyDescent="0.55000000000000004">
      <c r="A769" s="30"/>
      <c r="B769" s="11"/>
      <c r="C769" s="4"/>
    </row>
    <row r="770" spans="1:3" ht="14.25" customHeight="1" x14ac:dyDescent="0.55000000000000004">
      <c r="A770" s="30"/>
      <c r="B770" s="11"/>
      <c r="C770" s="4"/>
    </row>
    <row r="771" spans="1:3" ht="14.25" customHeight="1" x14ac:dyDescent="0.55000000000000004">
      <c r="A771" s="30"/>
      <c r="B771" s="11"/>
      <c r="C771" s="4"/>
    </row>
    <row r="772" spans="1:3" ht="14.25" customHeight="1" x14ac:dyDescent="0.55000000000000004">
      <c r="A772" s="30"/>
      <c r="B772" s="11"/>
      <c r="C772" s="4"/>
    </row>
    <row r="773" spans="1:3" ht="14.25" customHeight="1" x14ac:dyDescent="0.55000000000000004">
      <c r="A773" s="30"/>
      <c r="B773" s="11"/>
      <c r="C773" s="4"/>
    </row>
    <row r="774" spans="1:3" ht="14.25" customHeight="1" x14ac:dyDescent="0.55000000000000004">
      <c r="A774" s="30"/>
      <c r="B774" s="11"/>
      <c r="C774" s="4"/>
    </row>
    <row r="775" spans="1:3" ht="14.25" customHeight="1" x14ac:dyDescent="0.55000000000000004">
      <c r="A775" s="30"/>
      <c r="B775" s="11"/>
      <c r="C775" s="4"/>
    </row>
    <row r="776" spans="1:3" ht="14.25" customHeight="1" x14ac:dyDescent="0.55000000000000004">
      <c r="A776" s="30"/>
      <c r="B776" s="11"/>
      <c r="C776" s="4"/>
    </row>
    <row r="777" spans="1:3" ht="14.25" customHeight="1" x14ac:dyDescent="0.55000000000000004">
      <c r="A777" s="30"/>
      <c r="B777" s="11"/>
      <c r="C777" s="4"/>
    </row>
    <row r="778" spans="1:3" ht="14.25" customHeight="1" x14ac:dyDescent="0.55000000000000004">
      <c r="A778" s="30"/>
      <c r="B778" s="11"/>
      <c r="C778" s="4"/>
    </row>
    <row r="779" spans="1:3" ht="14.25" customHeight="1" x14ac:dyDescent="0.55000000000000004">
      <c r="A779" s="30"/>
      <c r="B779" s="11"/>
      <c r="C779" s="4"/>
    </row>
    <row r="780" spans="1:3" ht="14.25" customHeight="1" x14ac:dyDescent="0.55000000000000004">
      <c r="A780" s="30"/>
      <c r="B780" s="11"/>
      <c r="C780" s="4"/>
    </row>
    <row r="781" spans="1:3" ht="14.25" customHeight="1" x14ac:dyDescent="0.55000000000000004">
      <c r="A781" s="30"/>
      <c r="B781" s="11"/>
      <c r="C781" s="4"/>
    </row>
    <row r="782" spans="1:3" ht="14.25" customHeight="1" x14ac:dyDescent="0.55000000000000004">
      <c r="A782" s="30"/>
      <c r="B782" s="11"/>
      <c r="C782" s="4"/>
    </row>
    <row r="783" spans="1:3" ht="14.25" customHeight="1" x14ac:dyDescent="0.55000000000000004">
      <c r="A783" s="30"/>
      <c r="B783" s="11"/>
      <c r="C783" s="4"/>
    </row>
    <row r="784" spans="1:3" ht="14.25" customHeight="1" x14ac:dyDescent="0.55000000000000004">
      <c r="A784" s="30"/>
      <c r="B784" s="11"/>
      <c r="C784" s="4"/>
    </row>
    <row r="785" spans="1:3" ht="14.25" customHeight="1" x14ac:dyDescent="0.55000000000000004">
      <c r="A785" s="30"/>
      <c r="B785" s="11"/>
      <c r="C785" s="4"/>
    </row>
    <row r="786" spans="1:3" ht="14.25" customHeight="1" x14ac:dyDescent="0.55000000000000004">
      <c r="A786" s="30"/>
      <c r="B786" s="11"/>
      <c r="C786" s="4"/>
    </row>
    <row r="787" spans="1:3" ht="14.25" customHeight="1" x14ac:dyDescent="0.55000000000000004">
      <c r="A787" s="30"/>
      <c r="B787" s="11"/>
      <c r="C787" s="4"/>
    </row>
    <row r="788" spans="1:3" ht="14.25" customHeight="1" x14ac:dyDescent="0.55000000000000004">
      <c r="A788" s="30"/>
      <c r="B788" s="11"/>
      <c r="C788" s="4"/>
    </row>
    <row r="789" spans="1:3" ht="14.25" customHeight="1" x14ac:dyDescent="0.55000000000000004">
      <c r="A789" s="30"/>
      <c r="B789" s="11"/>
      <c r="C789" s="4"/>
    </row>
    <row r="790" spans="1:3" ht="14.25" customHeight="1" x14ac:dyDescent="0.55000000000000004">
      <c r="A790" s="30"/>
      <c r="B790" s="11"/>
      <c r="C790" s="4"/>
    </row>
    <row r="791" spans="1:3" ht="14.25" customHeight="1" x14ac:dyDescent="0.55000000000000004">
      <c r="A791" s="30"/>
      <c r="B791" s="11"/>
      <c r="C791" s="4"/>
    </row>
    <row r="792" spans="1:3" ht="14.25" customHeight="1" x14ac:dyDescent="0.55000000000000004">
      <c r="A792" s="30"/>
      <c r="B792" s="11"/>
      <c r="C792" s="4"/>
    </row>
    <row r="793" spans="1:3" ht="14.25" customHeight="1" x14ac:dyDescent="0.55000000000000004">
      <c r="A793" s="30"/>
      <c r="B793" s="11"/>
      <c r="C793" s="4"/>
    </row>
    <row r="794" spans="1:3" ht="14.25" customHeight="1" x14ac:dyDescent="0.55000000000000004">
      <c r="A794" s="30"/>
      <c r="B794" s="11"/>
      <c r="C794" s="4"/>
    </row>
    <row r="795" spans="1:3" ht="14.25" customHeight="1" x14ac:dyDescent="0.55000000000000004">
      <c r="A795" s="30"/>
      <c r="B795" s="11"/>
      <c r="C795" s="4"/>
    </row>
    <row r="796" spans="1:3" ht="14.25" customHeight="1" x14ac:dyDescent="0.55000000000000004">
      <c r="A796" s="30"/>
      <c r="B796" s="11"/>
      <c r="C796" s="4"/>
    </row>
    <row r="797" spans="1:3" ht="14.25" customHeight="1" x14ac:dyDescent="0.55000000000000004">
      <c r="A797" s="30"/>
      <c r="B797" s="11"/>
      <c r="C797" s="4"/>
    </row>
    <row r="798" spans="1:3" ht="14.25" customHeight="1" x14ac:dyDescent="0.55000000000000004">
      <c r="A798" s="30"/>
      <c r="B798" s="11"/>
      <c r="C798" s="4"/>
    </row>
    <row r="799" spans="1:3" ht="14.25" customHeight="1" x14ac:dyDescent="0.55000000000000004">
      <c r="A799" s="30"/>
      <c r="B799" s="11"/>
      <c r="C799" s="4"/>
    </row>
    <row r="800" spans="1:3" ht="14.25" customHeight="1" x14ac:dyDescent="0.55000000000000004">
      <c r="A800" s="30"/>
      <c r="B800" s="11"/>
      <c r="C800" s="4"/>
    </row>
    <row r="801" spans="1:3" ht="14.25" customHeight="1" x14ac:dyDescent="0.55000000000000004">
      <c r="A801" s="30"/>
      <c r="B801" s="11"/>
      <c r="C801" s="4"/>
    </row>
    <row r="802" spans="1:3" ht="14.25" customHeight="1" x14ac:dyDescent="0.55000000000000004">
      <c r="A802" s="30"/>
      <c r="B802" s="11"/>
      <c r="C802" s="4"/>
    </row>
    <row r="803" spans="1:3" ht="14.25" customHeight="1" x14ac:dyDescent="0.55000000000000004">
      <c r="A803" s="30"/>
      <c r="B803" s="11"/>
      <c r="C803" s="4"/>
    </row>
    <row r="804" spans="1:3" ht="14.25" customHeight="1" x14ac:dyDescent="0.55000000000000004">
      <c r="A804" s="30"/>
      <c r="B804" s="11"/>
      <c r="C804" s="4"/>
    </row>
    <row r="805" spans="1:3" ht="14.25" customHeight="1" x14ac:dyDescent="0.55000000000000004">
      <c r="A805" s="30"/>
      <c r="B805" s="11"/>
      <c r="C805" s="4"/>
    </row>
    <row r="806" spans="1:3" ht="14.25" customHeight="1" x14ac:dyDescent="0.55000000000000004">
      <c r="A806" s="30"/>
      <c r="B806" s="11"/>
      <c r="C806" s="4"/>
    </row>
    <row r="807" spans="1:3" ht="14.25" customHeight="1" x14ac:dyDescent="0.55000000000000004">
      <c r="A807" s="30"/>
      <c r="B807" s="11"/>
      <c r="C807" s="4"/>
    </row>
    <row r="808" spans="1:3" ht="14.25" customHeight="1" x14ac:dyDescent="0.55000000000000004">
      <c r="A808" s="30"/>
      <c r="B808" s="11"/>
      <c r="C808" s="4"/>
    </row>
    <row r="809" spans="1:3" ht="14.25" customHeight="1" x14ac:dyDescent="0.55000000000000004">
      <c r="A809" s="30"/>
      <c r="B809" s="11"/>
      <c r="C809" s="4"/>
    </row>
    <row r="810" spans="1:3" ht="14.25" customHeight="1" x14ac:dyDescent="0.55000000000000004">
      <c r="A810" s="30"/>
      <c r="B810" s="11"/>
      <c r="C810" s="4"/>
    </row>
    <row r="811" spans="1:3" ht="14.25" customHeight="1" x14ac:dyDescent="0.55000000000000004">
      <c r="A811" s="30"/>
      <c r="B811" s="11"/>
      <c r="C811" s="4"/>
    </row>
    <row r="812" spans="1:3" ht="14.25" customHeight="1" x14ac:dyDescent="0.55000000000000004">
      <c r="A812" s="30"/>
      <c r="B812" s="11"/>
      <c r="C812" s="4"/>
    </row>
    <row r="813" spans="1:3" ht="14.25" customHeight="1" x14ac:dyDescent="0.55000000000000004">
      <c r="A813" s="30"/>
      <c r="B813" s="11"/>
      <c r="C813" s="4"/>
    </row>
    <row r="814" spans="1:3" ht="14.25" customHeight="1" x14ac:dyDescent="0.55000000000000004">
      <c r="A814" s="30"/>
      <c r="B814" s="11"/>
      <c r="C814" s="4"/>
    </row>
    <row r="815" spans="1:3" ht="14.25" customHeight="1" x14ac:dyDescent="0.55000000000000004">
      <c r="A815" s="30"/>
      <c r="B815" s="11"/>
      <c r="C815" s="4"/>
    </row>
    <row r="816" spans="1:3" ht="14.25" customHeight="1" x14ac:dyDescent="0.55000000000000004">
      <c r="A816" s="30"/>
      <c r="B816" s="11"/>
      <c r="C816" s="4"/>
    </row>
    <row r="817" spans="1:3" ht="14.25" customHeight="1" x14ac:dyDescent="0.55000000000000004">
      <c r="A817" s="30"/>
      <c r="B817" s="11"/>
      <c r="C817" s="4"/>
    </row>
    <row r="818" spans="1:3" ht="14.25" customHeight="1" x14ac:dyDescent="0.55000000000000004">
      <c r="A818" s="30"/>
      <c r="B818" s="11"/>
      <c r="C818" s="4"/>
    </row>
    <row r="819" spans="1:3" ht="14.25" customHeight="1" x14ac:dyDescent="0.55000000000000004">
      <c r="A819" s="30"/>
      <c r="B819" s="11"/>
      <c r="C819" s="4"/>
    </row>
    <row r="820" spans="1:3" ht="14.25" customHeight="1" x14ac:dyDescent="0.55000000000000004">
      <c r="A820" s="30"/>
      <c r="B820" s="11"/>
      <c r="C820" s="4"/>
    </row>
    <row r="821" spans="1:3" ht="14.25" customHeight="1" x14ac:dyDescent="0.55000000000000004">
      <c r="A821" s="30"/>
      <c r="B821" s="11"/>
      <c r="C821" s="4"/>
    </row>
    <row r="822" spans="1:3" ht="14.25" customHeight="1" x14ac:dyDescent="0.55000000000000004">
      <c r="A822" s="30"/>
      <c r="B822" s="11"/>
      <c r="C822" s="4"/>
    </row>
    <row r="823" spans="1:3" ht="14.25" customHeight="1" x14ac:dyDescent="0.55000000000000004">
      <c r="A823" s="30"/>
      <c r="B823" s="11"/>
      <c r="C823" s="4"/>
    </row>
    <row r="824" spans="1:3" ht="14.25" customHeight="1" x14ac:dyDescent="0.55000000000000004">
      <c r="A824" s="30"/>
      <c r="B824" s="11"/>
      <c r="C824" s="4"/>
    </row>
    <row r="825" spans="1:3" ht="14.25" customHeight="1" x14ac:dyDescent="0.55000000000000004">
      <c r="A825" s="30"/>
      <c r="B825" s="11"/>
      <c r="C825" s="4"/>
    </row>
    <row r="826" spans="1:3" ht="14.25" customHeight="1" x14ac:dyDescent="0.55000000000000004">
      <c r="A826" s="30"/>
      <c r="B826" s="11"/>
      <c r="C826" s="4"/>
    </row>
    <row r="827" spans="1:3" ht="14.25" customHeight="1" x14ac:dyDescent="0.55000000000000004">
      <c r="A827" s="30"/>
      <c r="B827" s="11"/>
      <c r="C827" s="4"/>
    </row>
    <row r="828" spans="1:3" ht="14.25" customHeight="1" x14ac:dyDescent="0.55000000000000004">
      <c r="A828" s="30"/>
      <c r="B828" s="11"/>
      <c r="C828" s="4"/>
    </row>
    <row r="829" spans="1:3" ht="14.25" customHeight="1" x14ac:dyDescent="0.55000000000000004">
      <c r="A829" s="30"/>
      <c r="B829" s="11"/>
      <c r="C829" s="4"/>
    </row>
    <row r="830" spans="1:3" ht="14.25" customHeight="1" x14ac:dyDescent="0.55000000000000004">
      <c r="A830" s="30"/>
      <c r="B830" s="11"/>
      <c r="C830" s="4"/>
    </row>
    <row r="831" spans="1:3" ht="14.25" customHeight="1" x14ac:dyDescent="0.55000000000000004">
      <c r="A831" s="30"/>
      <c r="B831" s="11"/>
      <c r="C831" s="4"/>
    </row>
    <row r="832" spans="1:3" ht="14.25" customHeight="1" x14ac:dyDescent="0.55000000000000004">
      <c r="A832" s="30"/>
      <c r="B832" s="11"/>
      <c r="C832" s="4"/>
    </row>
    <row r="833" spans="1:3" ht="14.25" customHeight="1" x14ac:dyDescent="0.55000000000000004">
      <c r="A833" s="30"/>
      <c r="B833" s="11"/>
      <c r="C833" s="4"/>
    </row>
    <row r="834" spans="1:3" ht="14.25" customHeight="1" x14ac:dyDescent="0.55000000000000004">
      <c r="A834" s="30"/>
      <c r="B834" s="11"/>
      <c r="C834" s="4"/>
    </row>
    <row r="835" spans="1:3" ht="14.25" customHeight="1" x14ac:dyDescent="0.55000000000000004">
      <c r="A835" s="30"/>
      <c r="B835" s="11"/>
      <c r="C835" s="4"/>
    </row>
    <row r="836" spans="1:3" ht="14.25" customHeight="1" x14ac:dyDescent="0.55000000000000004">
      <c r="A836" s="30"/>
      <c r="B836" s="11"/>
      <c r="C836" s="4"/>
    </row>
    <row r="837" spans="1:3" ht="14.25" customHeight="1" x14ac:dyDescent="0.55000000000000004">
      <c r="A837" s="30"/>
      <c r="B837" s="11"/>
      <c r="C837" s="4"/>
    </row>
    <row r="838" spans="1:3" ht="14.25" customHeight="1" x14ac:dyDescent="0.55000000000000004">
      <c r="A838" s="30"/>
      <c r="B838" s="11"/>
      <c r="C838" s="4"/>
    </row>
    <row r="839" spans="1:3" ht="14.25" customHeight="1" x14ac:dyDescent="0.55000000000000004">
      <c r="A839" s="30"/>
      <c r="B839" s="11"/>
      <c r="C839" s="4"/>
    </row>
    <row r="840" spans="1:3" ht="14.25" customHeight="1" x14ac:dyDescent="0.55000000000000004">
      <c r="A840" s="30"/>
      <c r="B840" s="11"/>
      <c r="C840" s="4"/>
    </row>
    <row r="841" spans="1:3" ht="14.25" customHeight="1" x14ac:dyDescent="0.55000000000000004">
      <c r="A841" s="30"/>
      <c r="B841" s="11"/>
      <c r="C841" s="4"/>
    </row>
    <row r="842" spans="1:3" ht="14.25" customHeight="1" x14ac:dyDescent="0.55000000000000004">
      <c r="A842" s="30"/>
      <c r="B842" s="11"/>
      <c r="C842" s="4"/>
    </row>
    <row r="843" spans="1:3" ht="14.25" customHeight="1" x14ac:dyDescent="0.55000000000000004">
      <c r="A843" s="30"/>
      <c r="B843" s="11"/>
      <c r="C843" s="4"/>
    </row>
    <row r="844" spans="1:3" ht="14.25" customHeight="1" x14ac:dyDescent="0.55000000000000004">
      <c r="A844" s="30"/>
      <c r="B844" s="11"/>
      <c r="C844" s="4"/>
    </row>
    <row r="845" spans="1:3" ht="14.25" customHeight="1" x14ac:dyDescent="0.55000000000000004">
      <c r="A845" s="30"/>
      <c r="B845" s="11"/>
      <c r="C845" s="4"/>
    </row>
    <row r="846" spans="1:3" ht="14.25" customHeight="1" x14ac:dyDescent="0.55000000000000004">
      <c r="A846" s="30"/>
      <c r="B846" s="11"/>
      <c r="C846" s="4"/>
    </row>
    <row r="847" spans="1:3" ht="14.25" customHeight="1" x14ac:dyDescent="0.55000000000000004">
      <c r="A847" s="30"/>
      <c r="B847" s="11"/>
      <c r="C847" s="4"/>
    </row>
    <row r="848" spans="1:3" ht="14.25" customHeight="1" x14ac:dyDescent="0.55000000000000004">
      <c r="A848" s="30"/>
      <c r="B848" s="11"/>
      <c r="C848" s="4"/>
    </row>
    <row r="849" spans="1:3" ht="14.25" customHeight="1" x14ac:dyDescent="0.55000000000000004">
      <c r="A849" s="30"/>
      <c r="B849" s="11"/>
      <c r="C849" s="4"/>
    </row>
    <row r="850" spans="1:3" ht="14.25" customHeight="1" x14ac:dyDescent="0.55000000000000004">
      <c r="A850" s="30"/>
      <c r="B850" s="11"/>
      <c r="C850" s="4"/>
    </row>
    <row r="851" spans="1:3" ht="14.25" customHeight="1" x14ac:dyDescent="0.55000000000000004">
      <c r="A851" s="30"/>
      <c r="B851" s="11"/>
      <c r="C851" s="4"/>
    </row>
    <row r="852" spans="1:3" ht="14.25" customHeight="1" x14ac:dyDescent="0.55000000000000004">
      <c r="A852" s="30"/>
      <c r="B852" s="11"/>
      <c r="C852" s="4"/>
    </row>
    <row r="853" spans="1:3" ht="14.25" customHeight="1" x14ac:dyDescent="0.55000000000000004">
      <c r="A853" s="30"/>
      <c r="B853" s="11"/>
      <c r="C853" s="4"/>
    </row>
    <row r="854" spans="1:3" ht="14.25" customHeight="1" x14ac:dyDescent="0.55000000000000004">
      <c r="A854" s="30"/>
      <c r="B854" s="11"/>
      <c r="C854" s="4"/>
    </row>
    <row r="855" spans="1:3" ht="14.25" customHeight="1" x14ac:dyDescent="0.55000000000000004">
      <c r="A855" s="30"/>
      <c r="B855" s="11"/>
      <c r="C855" s="4"/>
    </row>
    <row r="856" spans="1:3" ht="14.25" customHeight="1" x14ac:dyDescent="0.55000000000000004">
      <c r="A856" s="30"/>
      <c r="B856" s="11"/>
      <c r="C856" s="4"/>
    </row>
    <row r="857" spans="1:3" ht="14.25" customHeight="1" x14ac:dyDescent="0.55000000000000004">
      <c r="A857" s="30"/>
      <c r="B857" s="11"/>
      <c r="C857" s="4"/>
    </row>
    <row r="858" spans="1:3" ht="14.25" customHeight="1" x14ac:dyDescent="0.55000000000000004">
      <c r="A858" s="30"/>
      <c r="B858" s="11"/>
      <c r="C858" s="4"/>
    </row>
    <row r="859" spans="1:3" ht="14.25" customHeight="1" x14ac:dyDescent="0.55000000000000004">
      <c r="A859" s="30"/>
      <c r="B859" s="11"/>
      <c r="C859" s="4"/>
    </row>
    <row r="860" spans="1:3" ht="14.25" customHeight="1" x14ac:dyDescent="0.55000000000000004">
      <c r="A860" s="30"/>
      <c r="B860" s="11"/>
      <c r="C860" s="4"/>
    </row>
    <row r="861" spans="1:3" ht="14.25" customHeight="1" x14ac:dyDescent="0.55000000000000004">
      <c r="A861" s="30"/>
      <c r="B861" s="11"/>
      <c r="C861" s="4"/>
    </row>
    <row r="862" spans="1:3" ht="14.25" customHeight="1" x14ac:dyDescent="0.55000000000000004">
      <c r="A862" s="30"/>
      <c r="B862" s="11"/>
      <c r="C862" s="4"/>
    </row>
    <row r="863" spans="1:3" ht="14.25" customHeight="1" x14ac:dyDescent="0.55000000000000004">
      <c r="A863" s="30"/>
      <c r="B863" s="11"/>
      <c r="C863" s="4"/>
    </row>
    <row r="864" spans="1:3" ht="14.25" customHeight="1" x14ac:dyDescent="0.55000000000000004">
      <c r="A864" s="30"/>
      <c r="B864" s="11"/>
      <c r="C864" s="4"/>
    </row>
    <row r="865" spans="1:3" ht="14.25" customHeight="1" x14ac:dyDescent="0.55000000000000004">
      <c r="A865" s="30"/>
      <c r="B865" s="11"/>
      <c r="C865" s="4"/>
    </row>
    <row r="866" spans="1:3" ht="14.25" customHeight="1" x14ac:dyDescent="0.55000000000000004">
      <c r="A866" s="30"/>
      <c r="B866" s="11"/>
      <c r="C866" s="4"/>
    </row>
    <row r="867" spans="1:3" ht="14.25" customHeight="1" x14ac:dyDescent="0.55000000000000004">
      <c r="A867" s="30"/>
      <c r="B867" s="11"/>
      <c r="C867" s="4"/>
    </row>
    <row r="868" spans="1:3" ht="14.25" customHeight="1" x14ac:dyDescent="0.55000000000000004">
      <c r="A868" s="30"/>
      <c r="B868" s="11"/>
      <c r="C868" s="4"/>
    </row>
    <row r="869" spans="1:3" ht="14.25" customHeight="1" x14ac:dyDescent="0.55000000000000004">
      <c r="A869" s="30"/>
      <c r="B869" s="11"/>
      <c r="C869" s="4"/>
    </row>
    <row r="870" spans="1:3" ht="14.25" customHeight="1" x14ac:dyDescent="0.55000000000000004">
      <c r="A870" s="30"/>
      <c r="B870" s="11"/>
      <c r="C870" s="4"/>
    </row>
    <row r="871" spans="1:3" ht="14.25" customHeight="1" x14ac:dyDescent="0.55000000000000004">
      <c r="A871" s="30"/>
      <c r="B871" s="11"/>
      <c r="C871" s="4"/>
    </row>
    <row r="872" spans="1:3" ht="14.25" customHeight="1" x14ac:dyDescent="0.55000000000000004">
      <c r="A872" s="30"/>
      <c r="B872" s="11"/>
      <c r="C872" s="4"/>
    </row>
    <row r="873" spans="1:3" ht="14.25" customHeight="1" x14ac:dyDescent="0.55000000000000004">
      <c r="A873" s="30"/>
      <c r="B873" s="11"/>
      <c r="C873" s="4"/>
    </row>
    <row r="874" spans="1:3" ht="14.25" customHeight="1" x14ac:dyDescent="0.55000000000000004">
      <c r="A874" s="30"/>
      <c r="B874" s="11"/>
      <c r="C874" s="4"/>
    </row>
    <row r="875" spans="1:3" ht="14.25" customHeight="1" x14ac:dyDescent="0.55000000000000004">
      <c r="A875" s="30"/>
      <c r="B875" s="11"/>
      <c r="C875" s="4"/>
    </row>
    <row r="876" spans="1:3" ht="14.25" customHeight="1" x14ac:dyDescent="0.55000000000000004">
      <c r="A876" s="30"/>
      <c r="B876" s="11"/>
      <c r="C876" s="4"/>
    </row>
    <row r="877" spans="1:3" ht="14.25" customHeight="1" x14ac:dyDescent="0.55000000000000004">
      <c r="A877" s="30"/>
      <c r="B877" s="11"/>
      <c r="C877" s="4"/>
    </row>
    <row r="878" spans="1:3" ht="14.25" customHeight="1" x14ac:dyDescent="0.55000000000000004">
      <c r="A878" s="30"/>
      <c r="B878" s="11"/>
      <c r="C878" s="4"/>
    </row>
    <row r="879" spans="1:3" ht="14.25" customHeight="1" x14ac:dyDescent="0.55000000000000004">
      <c r="A879" s="30"/>
      <c r="B879" s="11"/>
      <c r="C879" s="4"/>
    </row>
    <row r="880" spans="1:3" ht="14.25" customHeight="1" x14ac:dyDescent="0.55000000000000004">
      <c r="A880" s="30"/>
      <c r="B880" s="11"/>
      <c r="C880" s="4"/>
    </row>
    <row r="881" spans="1:3" ht="14.25" customHeight="1" x14ac:dyDescent="0.55000000000000004">
      <c r="A881" s="30"/>
      <c r="B881" s="11"/>
      <c r="C881" s="4"/>
    </row>
    <row r="882" spans="1:3" ht="14.25" customHeight="1" x14ac:dyDescent="0.55000000000000004">
      <c r="A882" s="30"/>
      <c r="B882" s="11"/>
      <c r="C882" s="4"/>
    </row>
    <row r="883" spans="1:3" ht="14.25" customHeight="1" x14ac:dyDescent="0.55000000000000004">
      <c r="A883" s="30"/>
      <c r="B883" s="11"/>
      <c r="C883" s="4"/>
    </row>
    <row r="884" spans="1:3" ht="14.25" customHeight="1" x14ac:dyDescent="0.55000000000000004">
      <c r="A884" s="30"/>
      <c r="B884" s="11"/>
      <c r="C884" s="4"/>
    </row>
    <row r="885" spans="1:3" ht="14.25" customHeight="1" x14ac:dyDescent="0.55000000000000004">
      <c r="A885" s="30"/>
      <c r="B885" s="11"/>
      <c r="C885" s="4"/>
    </row>
    <row r="886" spans="1:3" ht="14.25" customHeight="1" x14ac:dyDescent="0.55000000000000004">
      <c r="A886" s="30"/>
      <c r="B886" s="11"/>
      <c r="C886" s="4"/>
    </row>
    <row r="887" spans="1:3" ht="14.25" customHeight="1" x14ac:dyDescent="0.55000000000000004">
      <c r="A887" s="30"/>
      <c r="B887" s="11"/>
      <c r="C887" s="4"/>
    </row>
    <row r="888" spans="1:3" ht="14.25" customHeight="1" x14ac:dyDescent="0.55000000000000004">
      <c r="A888" s="30"/>
      <c r="B888" s="11"/>
      <c r="C888" s="4"/>
    </row>
    <row r="889" spans="1:3" ht="14.25" customHeight="1" x14ac:dyDescent="0.55000000000000004">
      <c r="A889" s="30"/>
      <c r="B889" s="11"/>
      <c r="C889" s="4"/>
    </row>
    <row r="890" spans="1:3" ht="14.25" customHeight="1" x14ac:dyDescent="0.55000000000000004">
      <c r="A890" s="30"/>
      <c r="B890" s="11"/>
      <c r="C890" s="4"/>
    </row>
    <row r="891" spans="1:3" ht="14.25" customHeight="1" x14ac:dyDescent="0.55000000000000004">
      <c r="A891" s="30"/>
      <c r="B891" s="11"/>
      <c r="C891" s="4"/>
    </row>
    <row r="892" spans="1:3" ht="14.25" customHeight="1" x14ac:dyDescent="0.55000000000000004">
      <c r="A892" s="30"/>
      <c r="B892" s="11"/>
      <c r="C892" s="4"/>
    </row>
    <row r="893" spans="1:3" ht="14.25" customHeight="1" x14ac:dyDescent="0.55000000000000004">
      <c r="A893" s="30"/>
      <c r="B893" s="11"/>
      <c r="C893" s="4"/>
    </row>
    <row r="894" spans="1:3" ht="14.25" customHeight="1" x14ac:dyDescent="0.55000000000000004">
      <c r="A894" s="30"/>
      <c r="B894" s="11"/>
      <c r="C894" s="4"/>
    </row>
    <row r="895" spans="1:3" ht="14.25" customHeight="1" x14ac:dyDescent="0.55000000000000004">
      <c r="A895" s="30"/>
      <c r="B895" s="11"/>
      <c r="C895" s="4"/>
    </row>
    <row r="896" spans="1:3" ht="14.25" customHeight="1" x14ac:dyDescent="0.55000000000000004">
      <c r="A896" s="30"/>
      <c r="B896" s="11"/>
      <c r="C896" s="4"/>
    </row>
    <row r="897" spans="1:3" ht="14.25" customHeight="1" x14ac:dyDescent="0.55000000000000004">
      <c r="A897" s="30"/>
      <c r="B897" s="11"/>
      <c r="C897" s="4"/>
    </row>
    <row r="898" spans="1:3" ht="14.25" customHeight="1" x14ac:dyDescent="0.55000000000000004">
      <c r="A898" s="30"/>
      <c r="B898" s="11"/>
      <c r="C898" s="4"/>
    </row>
    <row r="899" spans="1:3" ht="14.25" customHeight="1" x14ac:dyDescent="0.55000000000000004">
      <c r="A899" s="30"/>
      <c r="B899" s="11"/>
      <c r="C899" s="4"/>
    </row>
    <row r="900" spans="1:3" ht="14.25" customHeight="1" x14ac:dyDescent="0.55000000000000004">
      <c r="A900" s="30"/>
      <c r="B900" s="11"/>
      <c r="C900" s="4"/>
    </row>
    <row r="901" spans="1:3" ht="14.25" customHeight="1" x14ac:dyDescent="0.55000000000000004">
      <c r="A901" s="30"/>
      <c r="B901" s="11"/>
      <c r="C901" s="4"/>
    </row>
    <row r="902" spans="1:3" ht="14.25" customHeight="1" x14ac:dyDescent="0.55000000000000004">
      <c r="A902" s="30"/>
      <c r="B902" s="11"/>
      <c r="C902" s="4"/>
    </row>
    <row r="903" spans="1:3" ht="14.25" customHeight="1" x14ac:dyDescent="0.55000000000000004">
      <c r="A903" s="30"/>
      <c r="B903" s="11"/>
      <c r="C903" s="4"/>
    </row>
    <row r="904" spans="1:3" ht="14.25" customHeight="1" x14ac:dyDescent="0.55000000000000004">
      <c r="A904" s="30"/>
      <c r="B904" s="11"/>
      <c r="C904" s="4"/>
    </row>
    <row r="905" spans="1:3" ht="14.25" customHeight="1" x14ac:dyDescent="0.55000000000000004">
      <c r="A905" s="30"/>
      <c r="B905" s="11"/>
      <c r="C905" s="4"/>
    </row>
    <row r="906" spans="1:3" ht="14.25" customHeight="1" x14ac:dyDescent="0.55000000000000004">
      <c r="A906" s="30"/>
      <c r="B906" s="11"/>
      <c r="C906" s="4"/>
    </row>
    <row r="907" spans="1:3" ht="14.25" customHeight="1" x14ac:dyDescent="0.55000000000000004">
      <c r="A907" s="30"/>
      <c r="B907" s="11"/>
      <c r="C907" s="4"/>
    </row>
    <row r="908" spans="1:3" ht="14.25" customHeight="1" x14ac:dyDescent="0.55000000000000004">
      <c r="A908" s="30"/>
      <c r="B908" s="11"/>
      <c r="C908" s="4"/>
    </row>
    <row r="909" spans="1:3" ht="14.25" customHeight="1" x14ac:dyDescent="0.55000000000000004">
      <c r="A909" s="30"/>
      <c r="B909" s="11"/>
      <c r="C909" s="4"/>
    </row>
    <row r="910" spans="1:3" ht="14.25" customHeight="1" x14ac:dyDescent="0.55000000000000004">
      <c r="A910" s="30"/>
      <c r="B910" s="11"/>
      <c r="C910" s="4"/>
    </row>
    <row r="911" spans="1:3" ht="14.25" customHeight="1" x14ac:dyDescent="0.55000000000000004">
      <c r="A911" s="30"/>
      <c r="B911" s="11"/>
      <c r="C911" s="4"/>
    </row>
    <row r="912" spans="1:3" ht="14.25" customHeight="1" x14ac:dyDescent="0.55000000000000004">
      <c r="A912" s="30"/>
      <c r="B912" s="11"/>
      <c r="C912" s="4"/>
    </row>
    <row r="913" spans="1:3" ht="14.25" customHeight="1" x14ac:dyDescent="0.55000000000000004">
      <c r="A913" s="30"/>
      <c r="B913" s="11"/>
      <c r="C913" s="4"/>
    </row>
    <row r="914" spans="1:3" ht="14.25" customHeight="1" x14ac:dyDescent="0.55000000000000004">
      <c r="A914" s="30"/>
      <c r="B914" s="11"/>
      <c r="C914" s="4"/>
    </row>
    <row r="915" spans="1:3" ht="14.25" customHeight="1" x14ac:dyDescent="0.55000000000000004">
      <c r="A915" s="30"/>
      <c r="B915" s="11"/>
      <c r="C915" s="4"/>
    </row>
    <row r="916" spans="1:3" ht="14.25" customHeight="1" x14ac:dyDescent="0.55000000000000004">
      <c r="A916" s="30"/>
      <c r="B916" s="11"/>
      <c r="C916" s="4"/>
    </row>
    <row r="917" spans="1:3" ht="14.25" customHeight="1" x14ac:dyDescent="0.55000000000000004">
      <c r="A917" s="30"/>
      <c r="B917" s="11"/>
      <c r="C917" s="4"/>
    </row>
    <row r="918" spans="1:3" ht="14.25" customHeight="1" x14ac:dyDescent="0.55000000000000004">
      <c r="A918" s="30"/>
      <c r="B918" s="11"/>
      <c r="C918" s="4"/>
    </row>
    <row r="919" spans="1:3" ht="14.25" customHeight="1" x14ac:dyDescent="0.55000000000000004">
      <c r="A919" s="30"/>
      <c r="B919" s="11"/>
      <c r="C919" s="4"/>
    </row>
    <row r="920" spans="1:3" ht="14.25" customHeight="1" x14ac:dyDescent="0.55000000000000004">
      <c r="A920" s="30"/>
      <c r="B920" s="11"/>
      <c r="C920" s="4"/>
    </row>
    <row r="921" spans="1:3" ht="14.25" customHeight="1" x14ac:dyDescent="0.55000000000000004">
      <c r="A921" s="30"/>
      <c r="B921" s="11"/>
      <c r="C921" s="4"/>
    </row>
    <row r="922" spans="1:3" ht="14.25" customHeight="1" x14ac:dyDescent="0.55000000000000004">
      <c r="A922" s="30"/>
      <c r="B922" s="11"/>
      <c r="C922" s="4"/>
    </row>
    <row r="923" spans="1:3" ht="14.25" customHeight="1" x14ac:dyDescent="0.55000000000000004">
      <c r="A923" s="30"/>
      <c r="B923" s="11"/>
      <c r="C923" s="4"/>
    </row>
    <row r="924" spans="1:3" ht="14.25" customHeight="1" x14ac:dyDescent="0.55000000000000004">
      <c r="A924" s="30"/>
      <c r="B924" s="11"/>
      <c r="C924" s="4"/>
    </row>
    <row r="925" spans="1:3" ht="14.25" customHeight="1" x14ac:dyDescent="0.55000000000000004">
      <c r="A925" s="30"/>
      <c r="B925" s="11"/>
      <c r="C925" s="4"/>
    </row>
    <row r="926" spans="1:3" ht="14.25" customHeight="1" x14ac:dyDescent="0.55000000000000004">
      <c r="A926" s="30"/>
      <c r="B926" s="11"/>
      <c r="C926" s="4"/>
    </row>
    <row r="927" spans="1:3" ht="14.25" customHeight="1" x14ac:dyDescent="0.55000000000000004">
      <c r="A927" s="30"/>
      <c r="B927" s="11"/>
      <c r="C927" s="4"/>
    </row>
    <row r="928" spans="1:3" ht="14.25" customHeight="1" x14ac:dyDescent="0.55000000000000004">
      <c r="A928" s="30"/>
      <c r="B928" s="11"/>
      <c r="C928" s="4"/>
    </row>
    <row r="929" spans="1:3" ht="14.25" customHeight="1" x14ac:dyDescent="0.55000000000000004">
      <c r="A929" s="30"/>
      <c r="B929" s="11"/>
      <c r="C929" s="4"/>
    </row>
    <row r="930" spans="1:3" ht="14.25" customHeight="1" x14ac:dyDescent="0.55000000000000004">
      <c r="A930" s="30"/>
      <c r="B930" s="11"/>
      <c r="C930" s="4"/>
    </row>
    <row r="931" spans="1:3" ht="14.25" customHeight="1" x14ac:dyDescent="0.55000000000000004">
      <c r="A931" s="30"/>
      <c r="B931" s="11"/>
      <c r="C931" s="4"/>
    </row>
    <row r="932" spans="1:3" ht="14.25" customHeight="1" x14ac:dyDescent="0.55000000000000004">
      <c r="A932" s="30"/>
      <c r="B932" s="11"/>
      <c r="C932" s="4"/>
    </row>
    <row r="933" spans="1:3" ht="14.25" customHeight="1" x14ac:dyDescent="0.55000000000000004">
      <c r="A933" s="30"/>
      <c r="B933" s="11"/>
      <c r="C933" s="4"/>
    </row>
    <row r="934" spans="1:3" ht="14.25" customHeight="1" x14ac:dyDescent="0.55000000000000004">
      <c r="A934" s="30"/>
      <c r="B934" s="11"/>
      <c r="C934" s="4"/>
    </row>
    <row r="935" spans="1:3" ht="14.25" customHeight="1" x14ac:dyDescent="0.55000000000000004">
      <c r="A935" s="30"/>
      <c r="B935" s="11"/>
      <c r="C935" s="4"/>
    </row>
    <row r="936" spans="1:3" ht="14.25" customHeight="1" x14ac:dyDescent="0.55000000000000004">
      <c r="A936" s="30"/>
      <c r="B936" s="11"/>
      <c r="C936" s="4"/>
    </row>
    <row r="937" spans="1:3" ht="14.25" customHeight="1" x14ac:dyDescent="0.55000000000000004">
      <c r="A937" s="30"/>
      <c r="B937" s="11"/>
      <c r="C937" s="4"/>
    </row>
    <row r="938" spans="1:3" ht="14.25" customHeight="1" x14ac:dyDescent="0.55000000000000004">
      <c r="A938" s="30"/>
      <c r="B938" s="11"/>
      <c r="C938" s="4"/>
    </row>
    <row r="939" spans="1:3" ht="14.25" customHeight="1" x14ac:dyDescent="0.55000000000000004">
      <c r="A939" s="30"/>
      <c r="B939" s="11"/>
      <c r="C939" s="4"/>
    </row>
    <row r="940" spans="1:3" ht="14.25" customHeight="1" x14ac:dyDescent="0.55000000000000004">
      <c r="A940" s="30"/>
      <c r="B940" s="11"/>
      <c r="C940" s="4"/>
    </row>
    <row r="941" spans="1:3" ht="14.25" customHeight="1" x14ac:dyDescent="0.55000000000000004">
      <c r="A941" s="30"/>
      <c r="B941" s="11"/>
      <c r="C941" s="4"/>
    </row>
    <row r="942" spans="1:3" ht="14.25" customHeight="1" x14ac:dyDescent="0.55000000000000004">
      <c r="A942" s="30"/>
      <c r="B942" s="11"/>
      <c r="C942" s="4"/>
    </row>
    <row r="943" spans="1:3" ht="14.25" customHeight="1" x14ac:dyDescent="0.55000000000000004">
      <c r="A943" s="30"/>
      <c r="B943" s="11"/>
      <c r="C943" s="4"/>
    </row>
    <row r="944" spans="1:3" ht="14.25" customHeight="1" x14ac:dyDescent="0.55000000000000004">
      <c r="A944" s="30"/>
      <c r="B944" s="11"/>
      <c r="C944" s="4"/>
    </row>
    <row r="945" spans="1:3" ht="14.25" customHeight="1" x14ac:dyDescent="0.55000000000000004">
      <c r="A945" s="30"/>
      <c r="B945" s="11"/>
      <c r="C945" s="4"/>
    </row>
    <row r="946" spans="1:3" ht="14.25" customHeight="1" x14ac:dyDescent="0.55000000000000004">
      <c r="A946" s="30"/>
      <c r="B946" s="11"/>
      <c r="C946" s="4"/>
    </row>
    <row r="947" spans="1:3" ht="14.25" customHeight="1" x14ac:dyDescent="0.55000000000000004">
      <c r="A947" s="30"/>
      <c r="B947" s="11"/>
      <c r="C947" s="4"/>
    </row>
    <row r="948" spans="1:3" ht="14.25" customHeight="1" x14ac:dyDescent="0.55000000000000004">
      <c r="A948" s="30"/>
      <c r="B948" s="11"/>
      <c r="C948" s="4"/>
    </row>
    <row r="949" spans="1:3" ht="14.25" customHeight="1" x14ac:dyDescent="0.55000000000000004">
      <c r="A949" s="30"/>
      <c r="B949" s="11"/>
      <c r="C949" s="4"/>
    </row>
    <row r="950" spans="1:3" ht="14.25" customHeight="1" x14ac:dyDescent="0.55000000000000004">
      <c r="A950" s="30"/>
      <c r="B950" s="11"/>
      <c r="C950" s="4"/>
    </row>
    <row r="951" spans="1:3" ht="14.25" customHeight="1" x14ac:dyDescent="0.55000000000000004">
      <c r="A951" s="30"/>
      <c r="B951" s="11"/>
      <c r="C951" s="4"/>
    </row>
    <row r="952" spans="1:3" ht="14.25" customHeight="1" x14ac:dyDescent="0.55000000000000004">
      <c r="A952" s="30"/>
      <c r="B952" s="11"/>
      <c r="C952" s="4"/>
    </row>
    <row r="953" spans="1:3" ht="14.25" customHeight="1" x14ac:dyDescent="0.55000000000000004">
      <c r="A953" s="30"/>
      <c r="B953" s="11"/>
      <c r="C953" s="4"/>
    </row>
    <row r="954" spans="1:3" ht="14.25" customHeight="1" x14ac:dyDescent="0.55000000000000004">
      <c r="A954" s="30"/>
      <c r="B954" s="11"/>
      <c r="C954" s="4"/>
    </row>
    <row r="955" spans="1:3" ht="14.25" customHeight="1" x14ac:dyDescent="0.55000000000000004">
      <c r="A955" s="30"/>
      <c r="B955" s="11"/>
      <c r="C955" s="4"/>
    </row>
    <row r="956" spans="1:3" ht="14.25" customHeight="1" x14ac:dyDescent="0.55000000000000004">
      <c r="A956" s="30"/>
      <c r="B956" s="11"/>
      <c r="C956" s="4"/>
    </row>
    <row r="957" spans="1:3" ht="14.25" customHeight="1" x14ac:dyDescent="0.55000000000000004">
      <c r="A957" s="30"/>
      <c r="B957" s="11"/>
      <c r="C957" s="4"/>
    </row>
    <row r="958" spans="1:3" ht="14.25" customHeight="1" x14ac:dyDescent="0.55000000000000004">
      <c r="A958" s="30"/>
      <c r="B958" s="11"/>
      <c r="C958" s="4"/>
    </row>
    <row r="959" spans="1:3" ht="14.25" customHeight="1" x14ac:dyDescent="0.55000000000000004">
      <c r="A959" s="30"/>
      <c r="B959" s="11"/>
      <c r="C959" s="4"/>
    </row>
    <row r="960" spans="1:3" ht="14.25" customHeight="1" x14ac:dyDescent="0.55000000000000004">
      <c r="A960" s="30"/>
      <c r="B960" s="11"/>
      <c r="C960" s="4"/>
    </row>
    <row r="961" spans="1:3" ht="14.25" customHeight="1" x14ac:dyDescent="0.55000000000000004">
      <c r="A961" s="30"/>
      <c r="B961" s="11"/>
      <c r="C961" s="4"/>
    </row>
    <row r="962" spans="1:3" ht="14.25" customHeight="1" x14ac:dyDescent="0.55000000000000004">
      <c r="A962" s="30"/>
      <c r="B962" s="11"/>
      <c r="C962" s="4"/>
    </row>
    <row r="963" spans="1:3" ht="14.25" customHeight="1" x14ac:dyDescent="0.55000000000000004">
      <c r="A963" s="30"/>
      <c r="B963" s="11"/>
      <c r="C963" s="4"/>
    </row>
    <row r="964" spans="1:3" ht="14.25" customHeight="1" x14ac:dyDescent="0.55000000000000004">
      <c r="A964" s="30"/>
      <c r="B964" s="11"/>
      <c r="C964" s="4"/>
    </row>
    <row r="965" spans="1:3" ht="14.25" customHeight="1" x14ac:dyDescent="0.55000000000000004">
      <c r="A965" s="30"/>
      <c r="B965" s="11"/>
      <c r="C965" s="4"/>
    </row>
    <row r="966" spans="1:3" ht="14.25" customHeight="1" x14ac:dyDescent="0.55000000000000004">
      <c r="A966" s="30"/>
      <c r="B966" s="11"/>
      <c r="C966" s="4"/>
    </row>
    <row r="967" spans="1:3" ht="14.25" customHeight="1" x14ac:dyDescent="0.55000000000000004">
      <c r="A967" s="30"/>
      <c r="B967" s="11"/>
      <c r="C967" s="4"/>
    </row>
    <row r="968" spans="1:3" ht="14.25" customHeight="1" x14ac:dyDescent="0.55000000000000004">
      <c r="A968" s="30"/>
      <c r="B968" s="11"/>
      <c r="C968" s="4"/>
    </row>
    <row r="969" spans="1:3" ht="14.25" customHeight="1" x14ac:dyDescent="0.55000000000000004">
      <c r="A969" s="30"/>
      <c r="B969" s="11"/>
      <c r="C969" s="4"/>
    </row>
    <row r="970" spans="1:3" ht="14.25" customHeight="1" x14ac:dyDescent="0.55000000000000004">
      <c r="A970" s="30"/>
      <c r="B970" s="11"/>
      <c r="C970" s="4"/>
    </row>
    <row r="971" spans="1:3" ht="14.25" customHeight="1" x14ac:dyDescent="0.55000000000000004">
      <c r="A971" s="30"/>
      <c r="B971" s="11"/>
      <c r="C971" s="4"/>
    </row>
    <row r="972" spans="1:3" ht="14.25" customHeight="1" x14ac:dyDescent="0.55000000000000004">
      <c r="A972" s="30"/>
      <c r="B972" s="11"/>
      <c r="C972" s="4"/>
    </row>
    <row r="973" spans="1:3" ht="14.25" customHeight="1" x14ac:dyDescent="0.55000000000000004">
      <c r="A973" s="30"/>
      <c r="B973" s="11"/>
      <c r="C973" s="4"/>
    </row>
    <row r="974" spans="1:3" ht="14.25" customHeight="1" x14ac:dyDescent="0.55000000000000004">
      <c r="A974" s="30"/>
      <c r="B974" s="11"/>
      <c r="C974" s="4"/>
    </row>
    <row r="975" spans="1:3" ht="14.25" customHeight="1" x14ac:dyDescent="0.55000000000000004">
      <c r="A975" s="30"/>
      <c r="B975" s="11"/>
      <c r="C975" s="4"/>
    </row>
    <row r="976" spans="1:3" ht="14.25" customHeight="1" x14ac:dyDescent="0.55000000000000004">
      <c r="A976" s="30"/>
      <c r="B976" s="11"/>
      <c r="C976" s="4"/>
    </row>
    <row r="977" spans="1:3" ht="14.25" customHeight="1" x14ac:dyDescent="0.55000000000000004">
      <c r="A977" s="30"/>
      <c r="B977" s="11"/>
      <c r="C977" s="4"/>
    </row>
    <row r="978" spans="1:3" ht="14.25" customHeight="1" x14ac:dyDescent="0.55000000000000004">
      <c r="A978" s="30"/>
      <c r="B978" s="11"/>
      <c r="C978" s="4"/>
    </row>
    <row r="979" spans="1:3" ht="14.25" customHeight="1" x14ac:dyDescent="0.55000000000000004">
      <c r="A979" s="30"/>
      <c r="B979" s="11"/>
      <c r="C979" s="4"/>
    </row>
    <row r="980" spans="1:3" ht="14.25" customHeight="1" x14ac:dyDescent="0.55000000000000004">
      <c r="A980" s="30"/>
      <c r="B980" s="11"/>
      <c r="C980" s="4"/>
    </row>
    <row r="981" spans="1:3" ht="14.25" customHeight="1" x14ac:dyDescent="0.55000000000000004">
      <c r="A981" s="30"/>
      <c r="B981" s="11"/>
      <c r="C981" s="4"/>
    </row>
    <row r="982" spans="1:3" ht="14.25" customHeight="1" x14ac:dyDescent="0.55000000000000004">
      <c r="A982" s="30"/>
      <c r="B982" s="11"/>
      <c r="C982" s="4"/>
    </row>
    <row r="983" spans="1:3" ht="14.25" customHeight="1" x14ac:dyDescent="0.55000000000000004">
      <c r="A983" s="30"/>
      <c r="B983" s="11"/>
      <c r="C983" s="4"/>
    </row>
    <row r="984" spans="1:3" ht="14.25" customHeight="1" x14ac:dyDescent="0.55000000000000004">
      <c r="A984" s="30"/>
      <c r="B984" s="11"/>
      <c r="C984" s="4"/>
    </row>
    <row r="985" spans="1:3" ht="14.25" customHeight="1" x14ac:dyDescent="0.55000000000000004">
      <c r="A985" s="30"/>
      <c r="B985" s="11"/>
      <c r="C985" s="4"/>
    </row>
    <row r="986" spans="1:3" ht="14.25" customHeight="1" x14ac:dyDescent="0.55000000000000004">
      <c r="A986" s="30"/>
      <c r="B986" s="11"/>
      <c r="C986" s="4"/>
    </row>
    <row r="987" spans="1:3" ht="14.25" customHeight="1" x14ac:dyDescent="0.55000000000000004">
      <c r="A987" s="30"/>
      <c r="B987" s="11"/>
      <c r="C987" s="4"/>
    </row>
    <row r="988" spans="1:3" ht="14.25" customHeight="1" x14ac:dyDescent="0.55000000000000004">
      <c r="A988" s="30"/>
      <c r="B988" s="11"/>
      <c r="C988" s="4"/>
    </row>
    <row r="989" spans="1:3" ht="14.25" customHeight="1" x14ac:dyDescent="0.55000000000000004">
      <c r="A989" s="30"/>
      <c r="B989" s="11"/>
      <c r="C989" s="4"/>
    </row>
    <row r="990" spans="1:3" ht="14.25" customHeight="1" x14ac:dyDescent="0.55000000000000004">
      <c r="A990" s="30"/>
      <c r="B990" s="11"/>
      <c r="C990" s="4"/>
    </row>
    <row r="991" spans="1:3" ht="14.25" customHeight="1" x14ac:dyDescent="0.55000000000000004">
      <c r="A991" s="30"/>
      <c r="B991" s="11"/>
      <c r="C991" s="4"/>
    </row>
    <row r="992" spans="1:3" ht="14.25" customHeight="1" x14ac:dyDescent="0.55000000000000004">
      <c r="A992" s="30"/>
      <c r="B992" s="11"/>
      <c r="C992" s="4"/>
    </row>
    <row r="993" spans="1:3" ht="14.25" customHeight="1" x14ac:dyDescent="0.55000000000000004">
      <c r="A993" s="30"/>
      <c r="B993" s="11"/>
      <c r="C993" s="4"/>
    </row>
    <row r="994" spans="1:3" ht="14.25" customHeight="1" x14ac:dyDescent="0.55000000000000004">
      <c r="A994" s="30"/>
      <c r="B994" s="11"/>
      <c r="C994" s="4"/>
    </row>
    <row r="995" spans="1:3" ht="14.25" customHeight="1" x14ac:dyDescent="0.55000000000000004">
      <c r="A995" s="30"/>
      <c r="B995" s="11"/>
      <c r="C995" s="4"/>
    </row>
    <row r="996" spans="1:3" ht="14.25" customHeight="1" x14ac:dyDescent="0.55000000000000004">
      <c r="A996" s="30"/>
      <c r="B996" s="11"/>
      <c r="C996" s="4"/>
    </row>
    <row r="997" spans="1:3" ht="14.25" customHeight="1" x14ac:dyDescent="0.55000000000000004">
      <c r="A997" s="30"/>
      <c r="B997" s="11"/>
      <c r="C997" s="4"/>
    </row>
    <row r="998" spans="1:3" ht="14.25" customHeight="1" x14ac:dyDescent="0.55000000000000004">
      <c r="A998" s="30"/>
      <c r="B998" s="11"/>
      <c r="C998" s="4"/>
    </row>
    <row r="999" spans="1:3" ht="14.25" customHeight="1" x14ac:dyDescent="0.55000000000000004">
      <c r="A999" s="30"/>
      <c r="B999" s="11"/>
      <c r="C999" s="4"/>
    </row>
    <row r="1000" spans="1:3" ht="14.25" customHeight="1" x14ac:dyDescent="0.55000000000000004">
      <c r="A1000" s="30"/>
      <c r="B1000" s="11"/>
      <c r="C1000" s="4"/>
    </row>
    <row r="1001" spans="1:3" ht="14.25" customHeight="1" x14ac:dyDescent="0.55000000000000004">
      <c r="A1001" s="30"/>
      <c r="B1001" s="11"/>
      <c r="C1001" s="4"/>
    </row>
    <row r="1002" spans="1:3" ht="14.25" customHeight="1" x14ac:dyDescent="0.55000000000000004">
      <c r="A1002" s="30"/>
      <c r="B1002" s="11"/>
      <c r="C1002" s="4"/>
    </row>
    <row r="1003" spans="1:3" ht="14.25" customHeight="1" x14ac:dyDescent="0.55000000000000004">
      <c r="A1003" s="30"/>
      <c r="B1003" s="11"/>
      <c r="C1003" s="4"/>
    </row>
    <row r="1004" spans="1:3" ht="14.25" customHeight="1" x14ac:dyDescent="0.55000000000000004">
      <c r="A1004" s="30"/>
      <c r="B1004" s="11"/>
      <c r="C1004" s="4"/>
    </row>
    <row r="1005" spans="1:3" ht="14.25" customHeight="1" x14ac:dyDescent="0.55000000000000004">
      <c r="A1005" s="30"/>
      <c r="B1005" s="11"/>
      <c r="C1005" s="4"/>
    </row>
    <row r="1006" spans="1:3" ht="14.25" customHeight="1" x14ac:dyDescent="0.55000000000000004">
      <c r="A1006" s="30"/>
      <c r="B1006" s="11"/>
      <c r="C1006" s="4"/>
    </row>
    <row r="1007" spans="1:3" ht="14.25" customHeight="1" x14ac:dyDescent="0.55000000000000004">
      <c r="A1007" s="30"/>
      <c r="B1007" s="11"/>
      <c r="C1007" s="4"/>
    </row>
    <row r="1008" spans="1:3" ht="14.25" customHeight="1" x14ac:dyDescent="0.55000000000000004">
      <c r="A1008" s="30"/>
      <c r="B1008" s="11"/>
      <c r="C1008" s="4"/>
    </row>
    <row r="1009" spans="1:3" ht="14.25" customHeight="1" x14ac:dyDescent="0.55000000000000004">
      <c r="A1009" s="30"/>
      <c r="B1009" s="11"/>
      <c r="C1009" s="4"/>
    </row>
    <row r="1010" spans="1:3" ht="14.25" customHeight="1" x14ac:dyDescent="0.55000000000000004">
      <c r="A1010" s="30"/>
      <c r="B1010" s="11"/>
      <c r="C1010" s="4"/>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09"/>
  <sheetViews>
    <sheetView workbookViewId="0">
      <pane xSplit="1" ySplit="1" topLeftCell="B101" activePane="bottomRight" state="frozen"/>
      <selection pane="topRight" activeCell="B1" sqref="B1"/>
      <selection pane="bottomLeft" activeCell="A2" sqref="A2"/>
      <selection pane="bottomRight" activeCell="B14" sqref="B14"/>
    </sheetView>
  </sheetViews>
  <sheetFormatPr defaultColWidth="14.453125" defaultRowHeight="15" customHeight="1" x14ac:dyDescent="0.35"/>
  <cols>
    <col min="1" max="1" width="33.26953125" customWidth="1"/>
    <col min="2" max="2" width="276.7265625" customWidth="1"/>
    <col min="3" max="3" width="156.81640625" customWidth="1"/>
  </cols>
  <sheetData>
    <row r="1" spans="1:3" ht="14.25" customHeight="1" x14ac:dyDescent="0.35">
      <c r="A1" s="31"/>
      <c r="B1" s="31"/>
      <c r="C1" s="21"/>
    </row>
    <row r="2" spans="1:3" ht="14.25" customHeight="1" x14ac:dyDescent="0.35">
      <c r="A2" s="3" t="s">
        <v>168</v>
      </c>
      <c r="B2" s="3" t="s">
        <v>169</v>
      </c>
      <c r="C2" s="21" t="str">
        <f ca="1">IFERROR(__xludf.DUMMYFUNCTION("GOOGLETRANSLATE(B2,""en"",""id"")"),"Tanggal di mana peminjam menerima tawaran itu")</f>
        <v>Tanggal di mana peminjam menerima tawaran itu</v>
      </c>
    </row>
    <row r="3" spans="1:3" ht="14.25" customHeight="1" x14ac:dyDescent="0.35">
      <c r="A3" s="3" t="s">
        <v>170</v>
      </c>
      <c r="B3" s="3" t="s">
        <v>4</v>
      </c>
      <c r="C3" s="21" t="str">
        <f ca="1">IFERROR(__xludf.DUMMYFUNCTION("GOOGLETRANSLATE(B3,""en"",""id"")"),"Jumlah akun di mana peminjam sekarang nakal.")</f>
        <v>Jumlah akun di mana peminjam sekarang nakal.</v>
      </c>
    </row>
    <row r="4" spans="1:3" ht="14.25" customHeight="1" x14ac:dyDescent="0.35">
      <c r="A4" s="3" t="s">
        <v>171</v>
      </c>
      <c r="B4" s="3" t="s">
        <v>172</v>
      </c>
      <c r="C4" s="21" t="str">
        <f ca="1">IFERROR(__xludf.DUMMYFUNCTION("GOOGLETRANSLATE(B4,""en"",""id"")"),"Jumlah perdagangan dibuka dalam 24 bulan terakhir.")</f>
        <v>Jumlah perdagangan dibuka dalam 24 bulan terakhir.</v>
      </c>
    </row>
    <row r="5" spans="1:3" ht="14.25" customHeight="1" x14ac:dyDescent="0.35">
      <c r="A5" s="3" t="s">
        <v>173</v>
      </c>
      <c r="B5" s="32" t="s">
        <v>6</v>
      </c>
      <c r="C5" s="21" t="str">
        <f ca="1">IFERROR(__xludf.DUMMYFUNCTION("GOOGLETRANSLATE(B5,""en"",""id"")"),"Negara yang disediakan oleh peminjam dalam aplikasi pinjaman")</f>
        <v>Negara yang disediakan oleh peminjam dalam aplikasi pinjaman</v>
      </c>
    </row>
    <row r="6" spans="1:3" ht="14.25" customHeight="1" x14ac:dyDescent="0.35">
      <c r="A6" s="3" t="s">
        <v>7</v>
      </c>
      <c r="B6" s="3" t="s">
        <v>8</v>
      </c>
      <c r="C6" s="21" t="str">
        <f ca="1">IFERROR(__xludf.DUMMYFUNCTION("GOOGLETRANSLATE(B6,""en"",""id"")"),"Saldo ke batas kredit untuk semua perdagangan")</f>
        <v>Saldo ke batas kredit untuk semua perdagangan</v>
      </c>
    </row>
    <row r="7" spans="1:3" ht="14.25" customHeight="1" x14ac:dyDescent="0.35">
      <c r="A7" s="3" t="s">
        <v>12</v>
      </c>
      <c r="B7" s="3" t="s">
        <v>13</v>
      </c>
      <c r="C7" s="21" t="str">
        <f ca="1">IFERROR(__xludf.DUMMYFUNCTION("GOOGLETRANSLATE(B7,""en"",""id"")"),"Penghasilan tahunan yang dilaporkan sendiri gabungan yang disediakan oleh co-peminjam selama pendaftaran")</f>
        <v>Penghasilan tahunan yang dilaporkan sendiri gabungan yang disediakan oleh co-peminjam selama pendaftaran</v>
      </c>
    </row>
    <row r="8" spans="1:3" ht="14.25" customHeight="1" x14ac:dyDescent="0.35">
      <c r="A8" s="3" t="s">
        <v>174</v>
      </c>
      <c r="B8" s="3" t="s">
        <v>10</v>
      </c>
      <c r="C8" s="21" t="str">
        <f ca="1">IFERROR(__xludf.DUMMYFUNCTION("GOOGLETRANSLATE(B8,""en"",""id"")"),"Penghasilan tahunan yang dilaporkan sendiri yang disediakan oleh peminjam selama pendaftaran.")</f>
        <v>Penghasilan tahunan yang dilaporkan sendiri yang disediakan oleh peminjam selama pendaftaran.</v>
      </c>
    </row>
    <row r="9" spans="1:3" ht="14.25" customHeight="1" x14ac:dyDescent="0.35">
      <c r="A9" s="3" t="s">
        <v>14</v>
      </c>
      <c r="B9" s="3" t="s">
        <v>15</v>
      </c>
      <c r="C9" s="21" t="str">
        <f ca="1">IFERROR(__xludf.DUMMYFUNCTION("GOOGLETRANSLATE(B9,""en"",""id"")"),"Menunjukkan apakah pinjaman adalah aplikasi individu atau aplikasi bersama dengan dua peminjam bersama")</f>
        <v>Menunjukkan apakah pinjaman adalah aplikasi individu atau aplikasi bersama dengan dua peminjam bersama</v>
      </c>
    </row>
    <row r="10" spans="1:3" ht="14.25" customHeight="1" x14ac:dyDescent="0.35">
      <c r="A10" s="3" t="s">
        <v>175</v>
      </c>
      <c r="B10" s="3" t="s">
        <v>176</v>
      </c>
      <c r="C10" s="21" t="str">
        <f ca="1">IFERROR(__xludf.DUMMYFUNCTION("GOOGLETRANSLATE(B10,""en"",""id"")"),"Rata -rata saldo saat ini dari semua akun")</f>
        <v>Rata -rata saldo saat ini dari semua akun</v>
      </c>
    </row>
    <row r="11" spans="1:3" ht="14.25" customHeight="1" x14ac:dyDescent="0.35">
      <c r="A11" s="3" t="s">
        <v>177</v>
      </c>
      <c r="B11" s="3" t="s">
        <v>178</v>
      </c>
      <c r="C11" s="21" t="str">
        <f ca="1">IFERROR(__xludf.DUMMYFUNCTION("GOOGLETRANSLATE(B11,""en"",""id"")"),"Total terbuka untuk dibeli dengan kartu bank revolving.")</f>
        <v>Total terbuka untuk dibeli dengan kartu bank revolving.</v>
      </c>
    </row>
    <row r="12" spans="1:3" ht="14.25" customHeight="1" x14ac:dyDescent="0.35">
      <c r="A12" s="3" t="s">
        <v>179</v>
      </c>
      <c r="B12" s="3" t="s">
        <v>180</v>
      </c>
      <c r="C12" s="21" t="str">
        <f ca="1">IFERROR(__xludf.DUMMYFUNCTION("GOOGLETRANSLATE(B12,""en"",""id"")"),"Rasio total saldo saat ini terhadap batas kredit/kredit tinggi untuk semua akun BankCard.")</f>
        <v>Rasio total saldo saat ini terhadap batas kredit/kredit tinggi untuk semua akun BankCard.</v>
      </c>
    </row>
    <row r="13" spans="1:3" ht="14.25" customHeight="1" x14ac:dyDescent="0.35">
      <c r="A13" s="3" t="s">
        <v>181</v>
      </c>
      <c r="B13" s="3" t="s">
        <v>182</v>
      </c>
      <c r="C13" s="21" t="str">
        <f ca="1">IFERROR(__xludf.DUMMYFUNCTION("GOOGLETRANSLATE(B13,""en"",""id"")"),"Jumlah pengisian daya dalam waktu 12 bulan")</f>
        <v>Jumlah pengisian daya dalam waktu 12 bulan</v>
      </c>
    </row>
    <row r="14" spans="1:3" ht="14.25" customHeight="1" x14ac:dyDescent="0.35">
      <c r="A14" s="3" t="s">
        <v>18</v>
      </c>
      <c r="B14" s="3" t="s">
        <v>19</v>
      </c>
      <c r="C14" s="21" t="str">
        <f ca="1">IFERROR(__xludf.DUMMYFUNCTION("GOOGLETRANSLATE(B14,""en"",""id"")"),"Jumlah koleksi dalam 12 bulan tidak termasuk koleksi medis")</f>
        <v>Jumlah koleksi dalam 12 bulan tidak termasuk koleksi medis</v>
      </c>
    </row>
    <row r="15" spans="1:3" ht="14.25" customHeight="1" x14ac:dyDescent="0.35">
      <c r="A15" s="3" t="s">
        <v>183</v>
      </c>
      <c r="B15" s="3" t="s">
        <v>184</v>
      </c>
      <c r="C15" s="21" t="str">
        <f ca="1">IFERROR(__xludf.DUMMYFUNCTION("GOOGLETRANSLATE(B15,""en"",""id"")"),"Tanggal LC menarik kredit untuk pinjaman ini")</f>
        <v>Tanggal LC menarik kredit untuk pinjaman ini</v>
      </c>
    </row>
    <row r="16" spans="1:3" ht="14.25" customHeight="1" x14ac:dyDescent="0.35">
      <c r="A16" s="3" t="s">
        <v>185</v>
      </c>
      <c r="B16" s="3" t="s">
        <v>21</v>
      </c>
      <c r="C16" s="21" t="str">
        <f ca="1">IFERROR(__xludf.DUMMYFUNCTION("GOOGLETRANSLATE(B16,""en"",""id"")"),"Jumlah 30+ hari insiden kenakalan yang lewat dalam file kredit peminjam selama 2 tahun terakhir")</f>
        <v>Jumlah 30+ hari insiden kenakalan yang lewat dalam file kredit peminjam selama 2 tahun terakhir</v>
      </c>
    </row>
    <row r="17" spans="1:3" ht="14.25" customHeight="1" x14ac:dyDescent="0.35">
      <c r="A17" s="3" t="s">
        <v>186</v>
      </c>
      <c r="B17" s="3" t="s">
        <v>187</v>
      </c>
      <c r="C17" s="21" t="str">
        <f ca="1">IFERROR(__xludf.DUMMYFUNCTION("GOOGLETRANSLATE(B17,""en"",""id"")"),"Jumlah yang lalu-due berutang untuk akun di mana peminjam sekarang nakal.")</f>
        <v>Jumlah yang lalu-due berutang untuk akun di mana peminjam sekarang nakal.</v>
      </c>
    </row>
    <row r="18" spans="1:3" ht="14.25" customHeight="1" x14ac:dyDescent="0.35">
      <c r="A18" s="3" t="s">
        <v>22</v>
      </c>
      <c r="B18" s="3" t="s">
        <v>23</v>
      </c>
      <c r="C18" s="21" t="str">
        <f ca="1">IFERROR(__xludf.DUMMYFUNCTION("GOOGLETRANSLATE(B18,""en"",""id"")"),"Deskripsi pinjaman yang disediakan oleh peminjam")</f>
        <v>Deskripsi pinjaman yang disediakan oleh peminjam</v>
      </c>
    </row>
    <row r="19" spans="1:3" ht="14.25" customHeight="1" x14ac:dyDescent="0.35">
      <c r="A19" s="3" t="s">
        <v>188</v>
      </c>
      <c r="B19" s="11" t="s">
        <v>33</v>
      </c>
      <c r="C19" s="21" t="str">
        <f ca="1">IFERROR(__xludf.DUMMYFUNCTION("GOOGLETRANSLATE(B19,""en"",""id"")"),"Rasio yang dihitung menggunakan total pembayaran utang bulanan peminjam atas total kewajiban utang, tidak termasuk hipotek dan pinjaman LC yang diminta, dibagi dengan pendapatan bulanan peminjam yang dilaporkan sendiri.")</f>
        <v>Rasio yang dihitung menggunakan total pembayaran utang bulanan peminjam atas total kewajiban utang, tidak termasuk hipotek dan pinjaman LC yang diminta, dibagi dengan pendapatan bulanan peminjam yang dilaporkan sendiri.</v>
      </c>
    </row>
    <row r="20" spans="1:3" ht="14.25" customHeight="1" x14ac:dyDescent="0.35">
      <c r="A20" s="3" t="s">
        <v>24</v>
      </c>
      <c r="B20" s="29" t="s">
        <v>25</v>
      </c>
      <c r="C20" s="21" t="str">
        <f ca="1">IFERROR(__xludf.DUMMYFUNCTION("GOOGLETRANSLATE(B20,""en"",""id"")"),"Rasio yang dihitung menggunakan total pembayaran bulanan peminjam bersama atas total kewajiban utang, tidak termasuk hipotek dan pinjaman LC yang diminta, dibagi oleh pendapatan bulanan yang dilaporkan sendiri oleh co-peminjam yang dilaporkan sendiri")</f>
        <v>Rasio yang dihitung menggunakan total pembayaran bulanan peminjam bersama atas total kewajiban utang, tidak termasuk hipotek dan pinjaman LC yang diminta, dibagi oleh pendapatan bulanan yang dilaporkan sendiri oleh co-peminjam yang dilaporkan sendiri</v>
      </c>
    </row>
    <row r="21" spans="1:3" ht="14.25" customHeight="1" x14ac:dyDescent="0.35">
      <c r="A21" s="3" t="s">
        <v>189</v>
      </c>
      <c r="B21" s="3" t="s">
        <v>190</v>
      </c>
      <c r="C21" s="21" t="str">
        <f ca="1">IFERROR(__xludf.DUMMYFUNCTION("GOOGLETRANSLATE(B21,""en"",""id"")"),"Tanggal jalur kredit yang dilaporkan lebih awal dari peminjam dibuka")</f>
        <v>Tanggal jalur kredit yang dilaporkan lebih awal dari peminjam dibuka</v>
      </c>
    </row>
    <row r="22" spans="1:3" ht="14.25" customHeight="1" x14ac:dyDescent="0.35">
      <c r="A22" s="3" t="s">
        <v>191</v>
      </c>
      <c r="B22" s="33" t="s">
        <v>192</v>
      </c>
      <c r="C22" s="21" t="str">
        <f ca="1">IFERROR(__xludf.DUMMYFUNCTION("GOOGLETRANSLATE(B22,""en"",""id"")"),"Suku bunga efektif sama dengan suku bunga pada catatan yang dikurangi dengan perkiraan pinjaman klub tentang dampak bunga yang tidak terkumpul sebelum ditagih.")</f>
        <v>Suku bunga efektif sama dengan suku bunga pada catatan yang dikurangi dengan perkiraan pinjaman klub tentang dampak bunga yang tidak terkumpul sebelum ditagih.</v>
      </c>
    </row>
    <row r="23" spans="1:3" ht="14.25" customHeight="1" x14ac:dyDescent="0.35">
      <c r="A23" s="3" t="s">
        <v>30</v>
      </c>
      <c r="B23" s="33" t="s">
        <v>31</v>
      </c>
      <c r="C23" s="21" t="str">
        <f ca="1">IFERROR(__xludf.DUMMYFUNCTION("GOOGLETRANSLATE(B23,""en"",""id"")"),"Judul pekerjaan yang disediakan oleh peminjam saat mengajukan pinjaman.*")</f>
        <v>Judul pekerjaan yang disediakan oleh peminjam saat mengajukan pinjaman.*</v>
      </c>
    </row>
    <row r="24" spans="1:3" ht="14.25" customHeight="1" x14ac:dyDescent="0.35">
      <c r="A24" s="3" t="s">
        <v>193</v>
      </c>
      <c r="B24" s="3" t="s">
        <v>166</v>
      </c>
      <c r="C24" s="21" t="str">
        <f ca="1">IFERROR(__xludf.DUMMYFUNCTION("GOOGLETRANSLATE(B24,""en"",""id"")"),"Panjang pekerjaan dalam beberapa tahun. Nilai yang mungkin adalah antara 0 dan 10 di mana 0 berarti kurang dari satu tahun dan 10 berarti sepuluh tahun atau lebih.")</f>
        <v>Panjang pekerjaan dalam beberapa tahun. Nilai yang mungkin adalah antara 0 dan 10 di mana 0 berarti kurang dari satu tahun dan 10 berarti sepuluh tahun atau lebih.</v>
      </c>
    </row>
    <row r="25" spans="1:3" ht="14.25" customHeight="1" x14ac:dyDescent="0.35">
      <c r="A25" s="3" t="s">
        <v>194</v>
      </c>
      <c r="B25" s="3" t="s">
        <v>195</v>
      </c>
      <c r="C25" s="21" t="str">
        <f ca="1">IFERROR(__xludf.DUMMYFUNCTION("GOOGLETRANSLATE(B25,""en"",""id"")"),"Tanggal daftar akan berakhir")</f>
        <v>Tanggal daftar akan berakhir</v>
      </c>
    </row>
    <row r="26" spans="1:3" ht="14.25" customHeight="1" x14ac:dyDescent="0.35">
      <c r="A26" s="3" t="s">
        <v>196</v>
      </c>
      <c r="B26" s="3" t="s">
        <v>197</v>
      </c>
      <c r="C26" s="21" t="str">
        <f ca="1">IFERROR(__xludf.DUMMYFUNCTION("GOOGLETRANSLATE(B26,""en"",""id"")"),"Tingkat default pinjaman yang diharapkan.")</f>
        <v>Tingkat default pinjaman yang diharapkan.</v>
      </c>
    </row>
    <row r="27" spans="1:3" ht="14.25" customHeight="1" x14ac:dyDescent="0.35">
      <c r="A27" s="3" t="s">
        <v>198</v>
      </c>
      <c r="B27" s="3" t="s">
        <v>35</v>
      </c>
      <c r="C27" s="21" t="str">
        <f ca="1">IFERROR(__xludf.DUMMYFUNCTION("GOOGLETRANSLATE(B27,""en"",""id"")"),"Kisaran batas atas fico peminjam dengan pinjaman originasi milik.")</f>
        <v>Kisaran batas atas fico peminjam dengan pinjaman originasi milik.</v>
      </c>
    </row>
    <row r="28" spans="1:3" ht="14.25" customHeight="1" x14ac:dyDescent="0.35">
      <c r="A28" s="3" t="s">
        <v>199</v>
      </c>
      <c r="B28" s="3" t="s">
        <v>37</v>
      </c>
      <c r="C28" s="21" t="str">
        <f ca="1">IFERROR(__xludf.DUMMYFUNCTION("GOOGLETRANSLATE(B28,""en"",""id"")"),"Rentang batas bawah fico peminjam dengan pinjaman originasi milik.")</f>
        <v>Rentang batas bawah fico peminjam dengan pinjaman originasi milik.</v>
      </c>
    </row>
    <row r="29" spans="1:3" ht="14.25" customHeight="1" x14ac:dyDescent="0.35">
      <c r="A29" s="3" t="s">
        <v>200</v>
      </c>
      <c r="B29" s="3" t="s">
        <v>39</v>
      </c>
      <c r="C29" s="21" t="str">
        <f ca="1">IFERROR(__xludf.DUMMYFUNCTION("GOOGLETRANSLATE(B29,""en"",""id"")"),"Jumlah total yang berkomitmen untuk pinjaman itu pada saat itu.")</f>
        <v>Jumlah total yang berkomitmen untuk pinjaman itu pada saat itu.</v>
      </c>
    </row>
    <row r="30" spans="1:3" ht="14.25" customHeight="1" x14ac:dyDescent="0.35">
      <c r="A30" s="3" t="s">
        <v>40</v>
      </c>
      <c r="B30" s="3" t="s">
        <v>41</v>
      </c>
      <c r="C30" s="21" t="str">
        <f ca="1">IFERROR(__xludf.DUMMYFUNCTION("GOOGLETRANSLATE(B30,""en"",""id"")"),"LC menugaskan nilai pinjaman")</f>
        <v>LC menugaskan nilai pinjaman</v>
      </c>
    </row>
    <row r="31" spans="1:3" ht="14.25" customHeight="1" x14ac:dyDescent="0.35">
      <c r="A31" s="3" t="s">
        <v>201</v>
      </c>
      <c r="B31" s="3" t="s">
        <v>43</v>
      </c>
      <c r="C31" s="21" t="str">
        <f ca="1">IFERROR(__xludf.DUMMYFUNCTION("GOOGLETRANSLATE(B31,""en"",""id"")"),"Status kepemilikan rumah yang disediakan oleh peminjam selama pendaftaran. Nilai -nilai kami adalah: sewa, sendiri, hipotek, lainnya.")</f>
        <v>Status kepemilikan rumah yang disediakan oleh peminjam selama pendaftaran. Nilai -nilai kami adalah: sewa, sendiri, hipotek, lainnya.</v>
      </c>
    </row>
    <row r="32" spans="1:3" ht="14.25" customHeight="1" x14ac:dyDescent="0.35">
      <c r="A32" s="3" t="s">
        <v>44</v>
      </c>
      <c r="B32" s="3" t="s">
        <v>45</v>
      </c>
      <c r="C32" s="21" t="str">
        <f ca="1">IFERROR(__xludf.DUMMYFUNCTION("GOOGLETRANSLATE(B32,""en"",""id"")"),"ID yang ditugaskan LC yang unik untuk daftar pinjaman.")</f>
        <v>ID yang ditugaskan LC yang unik untuk daftar pinjaman.</v>
      </c>
    </row>
    <row r="33" spans="1:3" ht="14.25" customHeight="1" x14ac:dyDescent="0.35">
      <c r="A33" s="3" t="s">
        <v>46</v>
      </c>
      <c r="B33" s="3" t="s">
        <v>47</v>
      </c>
      <c r="C33" s="21" t="str">
        <f ca="1">IFERROR(__xludf.DUMMYFUNCTION("GOOGLETRANSLATE(B33,""en"",""id"")"),"Rasio total saldo saat ini dengan batas kredit/kredit tinggi pada semua instal acct")</f>
        <v>Rasio total saldo saat ini dengan batas kredit/kredit tinggi pada semua instal acct</v>
      </c>
    </row>
    <row r="34" spans="1:3" ht="14.25" customHeight="1" x14ac:dyDescent="0.35">
      <c r="A34" s="3" t="s">
        <v>202</v>
      </c>
      <c r="B34" s="11" t="s">
        <v>203</v>
      </c>
      <c r="C34" s="21" t="str">
        <f ca="1">IFERROR(__xludf.DUMMYFUNCTION("GOOGLETRANSLATE(B34,""en"",""id"")"),"Tanggal kedaluwarsa platform Wholeloan")</f>
        <v>Tanggal kedaluwarsa platform Wholeloan</v>
      </c>
    </row>
    <row r="35" spans="1:3" ht="14.25" customHeight="1" x14ac:dyDescent="0.35">
      <c r="A35" s="3" t="s">
        <v>204</v>
      </c>
      <c r="B35" s="3" t="s">
        <v>205</v>
      </c>
      <c r="C35" s="21" t="str">
        <f ca="1">IFERROR(__xludf.DUMMYFUNCTION("GOOGLETRANSLATE(B35,""en"",""id"")"),"Status daftar awal pinjaman. Nilai yang mungkin adalah - w, f")</f>
        <v>Status daftar awal pinjaman. Nilai yang mungkin adalah - w, f</v>
      </c>
    </row>
    <row r="36" spans="1:3" ht="14.25" customHeight="1" x14ac:dyDescent="0.35">
      <c r="A36" s="3" t="s">
        <v>50</v>
      </c>
      <c r="B36" s="3" t="s">
        <v>51</v>
      </c>
      <c r="C36" s="21" t="str">
        <f ca="1">IFERROR(__xludf.DUMMYFUNCTION("GOOGLETRANSLATE(B36,""en"",""id"")"),"Jumlah pertanyaan keuangan pribadi")</f>
        <v>Jumlah pertanyaan keuangan pribadi</v>
      </c>
    </row>
    <row r="37" spans="1:3" ht="14.25" customHeight="1" x14ac:dyDescent="0.35">
      <c r="A37" s="3" t="s">
        <v>52</v>
      </c>
      <c r="B37" s="3" t="s">
        <v>53</v>
      </c>
      <c r="C37" s="21" t="str">
        <f ca="1">IFERROR(__xludf.DUMMYFUNCTION("GOOGLETRANSLATE(B37,""en"",""id"")"),"Jumlah pertanyaan kredit dalam 12 bulan terakhir")</f>
        <v>Jumlah pertanyaan kredit dalam 12 bulan terakhir</v>
      </c>
    </row>
    <row r="38" spans="1:3" ht="14.25" customHeight="1" x14ac:dyDescent="0.35">
      <c r="A38" s="3" t="s">
        <v>206</v>
      </c>
      <c r="B38" s="29" t="s">
        <v>55</v>
      </c>
      <c r="C38" s="21" t="str">
        <f ca="1">IFERROR(__xludf.DUMMYFUNCTION("GOOGLETRANSLATE(B38,""en"",""id"")"),"Jumlah pertanyaan dalam 6 bulan terakhir (tidak termasuk penyelidikan mobil dan hipotek)")</f>
        <v>Jumlah pertanyaan dalam 6 bulan terakhir (tidak termasuk penyelidikan mobil dan hipotek)</v>
      </c>
    </row>
    <row r="39" spans="1:3" ht="14.25" customHeight="1" x14ac:dyDescent="0.35">
      <c r="A39" s="3" t="s">
        <v>56</v>
      </c>
      <c r="B39" s="3" t="s">
        <v>57</v>
      </c>
      <c r="C39" s="21" t="str">
        <f ca="1">IFERROR(__xludf.DUMMYFUNCTION("GOOGLETRANSLATE(B39,""en"",""id"")"),"Pembayaran bulanan yang terutang oleh peminjam jika pinjaman berasal.")</f>
        <v>Pembayaran bulanan yang terutang oleh peminjam jika pinjaman berasal.</v>
      </c>
    </row>
    <row r="40" spans="1:3" ht="14.25" customHeight="1" x14ac:dyDescent="0.35">
      <c r="A40" s="16" t="s">
        <v>207</v>
      </c>
      <c r="B40" s="16" t="s">
        <v>208</v>
      </c>
      <c r="C40" s="34" t="str">
        <f ca="1">IFERROR(__xludf.DUMMYFUNCTION("GOOGLETRANSLATE(B40,""en"",""id"")"),"Suku bunga pinjaman")</f>
        <v>Suku bunga pinjaman</v>
      </c>
    </row>
    <row r="41" spans="1:3" ht="14.25" customHeight="1" x14ac:dyDescent="0.35">
      <c r="A41" s="3" t="s">
        <v>209</v>
      </c>
      <c r="B41" s="3" t="s">
        <v>59</v>
      </c>
      <c r="C41" s="21" t="str">
        <f ca="1">IFERROR(__xludf.DUMMYFUNCTION("GOOGLETRANSLATE(B41,""en"",""id"")"),"Menunjukkan jika pendapatan diverifikasi oleh LC, tidak diverifikasi, atau jika sumber pendapatan diverifikasi")</f>
        <v>Menunjukkan jika pendapatan diverifikasi oleh LC, tidak diverifikasi, atau jika sumber pendapatan diverifikasi</v>
      </c>
    </row>
    <row r="42" spans="1:3" ht="14.25" customHeight="1" x14ac:dyDescent="0.35">
      <c r="A42" s="3" t="s">
        <v>210</v>
      </c>
      <c r="B42" s="3" t="s">
        <v>211</v>
      </c>
      <c r="C42" s="21" t="str">
        <f ca="1">IFERROR(__xludf.DUMMYFUNCTION("GOOGLETRANSLATE(B42,""en"",""id"")"),"Tanggal di mana aplikasi peminjam terdaftar di platform.")</f>
        <v>Tanggal di mana aplikasi peminjam terdaftar di platform.</v>
      </c>
    </row>
    <row r="43" spans="1:3" ht="14.25" customHeight="1" x14ac:dyDescent="0.35">
      <c r="A43" s="3" t="s">
        <v>212</v>
      </c>
      <c r="B43" s="3" t="s">
        <v>213</v>
      </c>
      <c r="C43" s="21" t="str">
        <f ca="1">IFERROR(__xludf.DUMMYFUNCTION("GOOGLETRANSLATE(B43,""en"",""id"")"),"Jumlah pinjaman yang terdaftar yang diterapkan oleh peminjam. Jika pada suatu titik waktu, departemen kredit mengurangi jumlah pinjaman, maka itu akan tercermin dalam nilai ini.")</f>
        <v>Jumlah pinjaman yang terdaftar yang diterapkan oleh peminjam. Jika pada suatu titik waktu, departemen kredit mengurangi jumlah pinjaman, maka itu akan tercermin dalam nilai ini.</v>
      </c>
    </row>
    <row r="44" spans="1:3" ht="14.25" customHeight="1" x14ac:dyDescent="0.35">
      <c r="A44" s="3" t="s">
        <v>75</v>
      </c>
      <c r="B44" s="3" t="s">
        <v>76</v>
      </c>
      <c r="C44" s="21" t="str">
        <f ca="1">IFERROR(__xludf.DUMMYFUNCTION("GOOGLETRANSLATE(B44,""en"",""id"")"),"Saldo arus maksimum terutang pada semua akun bergulir")</f>
        <v>Saldo arus maksimum terutang pada semua akun bergulir</v>
      </c>
    </row>
    <row r="45" spans="1:3" ht="14.25" customHeight="1" x14ac:dyDescent="0.35">
      <c r="A45" s="3" t="s">
        <v>214</v>
      </c>
      <c r="B45" s="3" t="s">
        <v>78</v>
      </c>
      <c r="C45" s="21" t="str">
        <f ca="1">IFERROR(__xludf.DUMMYFUNCTION("GOOGLETRANSLATE(B45,""en"",""id"")"),"ID yang ditugaskan LC yang unik untuk anggota peminjam.")</f>
        <v>ID yang ditugaskan LC yang unik untuk anggota peminjam.</v>
      </c>
    </row>
    <row r="46" spans="1:3" ht="14.25" customHeight="1" x14ac:dyDescent="0.35">
      <c r="A46" s="3" t="s">
        <v>215</v>
      </c>
      <c r="B46" s="3" t="s">
        <v>216</v>
      </c>
      <c r="C46" s="21" t="str">
        <f ca="1">IFERROR(__xludf.DUMMYFUNCTION("GOOGLETRANSLATE(B46,""en"",""id"")"),"Bulan sejak akun putar tertua dibuka")</f>
        <v>Bulan sejak akun putar tertua dibuka</v>
      </c>
    </row>
    <row r="47" spans="1:3" ht="14.25" customHeight="1" x14ac:dyDescent="0.35">
      <c r="A47" s="3" t="s">
        <v>217</v>
      </c>
      <c r="B47" s="3" t="s">
        <v>218</v>
      </c>
      <c r="C47" s="21" t="str">
        <f ca="1">IFERROR(__xludf.DUMMYFUNCTION("GOOGLETRANSLATE(B47,""en"",""id"")"),"Bulan sejak akun putar terbaru dibuka")</f>
        <v>Bulan sejak akun putar terbaru dibuka</v>
      </c>
    </row>
    <row r="48" spans="1:3" ht="14.25" customHeight="1" x14ac:dyDescent="0.35">
      <c r="A48" s="3" t="s">
        <v>219</v>
      </c>
      <c r="B48" s="3" t="s">
        <v>220</v>
      </c>
      <c r="C48" s="21" t="str">
        <f ca="1">IFERROR(__xludf.DUMMYFUNCTION("GOOGLETRANSLATE(B48,""en"",""id"")"),"Bulan Sejak Akun Terbaru Dibuka")</f>
        <v>Bulan Sejak Akun Terbaru Dibuka</v>
      </c>
    </row>
    <row r="49" spans="1:3" ht="14.25" customHeight="1" x14ac:dyDescent="0.35">
      <c r="A49" s="3" t="s">
        <v>221</v>
      </c>
      <c r="B49" s="3" t="s">
        <v>222</v>
      </c>
      <c r="C49" s="21" t="str">
        <f ca="1">IFERROR(__xludf.DUMMYFUNCTION("GOOGLETRANSLATE(B49,""en"",""id"")"),"Jumlah akun hipotek.")</f>
        <v>Jumlah akun hipotek.</v>
      </c>
    </row>
    <row r="50" spans="1:3" ht="14.25" customHeight="1" x14ac:dyDescent="0.35">
      <c r="A50" s="3" t="s">
        <v>223</v>
      </c>
      <c r="B50" s="3" t="s">
        <v>224</v>
      </c>
      <c r="C50" s="21" t="str">
        <f ca="1">IFERROR(__xludf.DUMMYFUNCTION("GOOGLETRANSLATE(B50,""en"",""id"")"),"Area statistik metropolitan peminjam.")</f>
        <v>Area statistik metropolitan peminjam.</v>
      </c>
    </row>
    <row r="51" spans="1:3" ht="14.25" customHeight="1" x14ac:dyDescent="0.35">
      <c r="A51" s="3" t="s">
        <v>81</v>
      </c>
      <c r="B51" s="3" t="s">
        <v>82</v>
      </c>
      <c r="C51" s="21" t="str">
        <f ca="1">IFERROR(__xludf.DUMMYFUNCTION("GOOGLETRANSLATE(B51,""en"",""id"")"),"Bulan sejak peringkat 90 hari atau lebih buruk terakhir")</f>
        <v>Bulan sejak peringkat 90 hari atau lebih buruk terakhir</v>
      </c>
    </row>
    <row r="52" spans="1:3" ht="14.25" customHeight="1" x14ac:dyDescent="0.35">
      <c r="A52" s="3" t="s">
        <v>225</v>
      </c>
      <c r="B52" s="3" t="s">
        <v>226</v>
      </c>
      <c r="C52" s="21" t="str">
        <f ca="1">IFERROR(__xludf.DUMMYFUNCTION("GOOGLETRANSLATE(B52,""en"",""id"")"),"Bulan sejak rekening angsuran bank tertua dibuka")</f>
        <v>Bulan sejak rekening angsuran bank tertua dibuka</v>
      </c>
    </row>
    <row r="53" spans="1:3" ht="14.25" customHeight="1" x14ac:dyDescent="0.35">
      <c r="A53" s="3" t="s">
        <v>85</v>
      </c>
      <c r="B53" s="3" t="s">
        <v>86</v>
      </c>
      <c r="C53" s="21" t="str">
        <f ca="1">IFERROR(__xludf.DUMMYFUNCTION("GOOGLETRANSLATE(B53,""en"",""id"")"),"Bulan sejak akun angsuran terbaru dibuka")</f>
        <v>Bulan sejak akun angsuran terbaru dibuka</v>
      </c>
    </row>
    <row r="54" spans="1:3" ht="14.25" customHeight="1" x14ac:dyDescent="0.35">
      <c r="A54" s="3" t="s">
        <v>227</v>
      </c>
      <c r="B54" s="3" t="s">
        <v>80</v>
      </c>
      <c r="C54" s="21" t="str">
        <f ca="1">IFERROR(__xludf.DUMMYFUNCTION("GOOGLETRANSLATE(B54,""en"",""id"")"),"Jumlah bulan sejak kenakalan terakhir peminjam.")</f>
        <v>Jumlah bulan sejak kenakalan terakhir peminjam.</v>
      </c>
    </row>
    <row r="55" spans="1:3" ht="14.25" customHeight="1" x14ac:dyDescent="0.35">
      <c r="A55" s="3" t="s">
        <v>228</v>
      </c>
      <c r="B55" s="3" t="s">
        <v>84</v>
      </c>
      <c r="C55" s="21" t="str">
        <f ca="1">IFERROR(__xludf.DUMMYFUNCTION("GOOGLETRANSLATE(B55,""en"",""id"")"),"Jumlah bulan sejak catatan publik terakhir.")</f>
        <v>Jumlah bulan sejak catatan publik terakhir.</v>
      </c>
    </row>
    <row r="56" spans="1:3" ht="14.25" customHeight="1" x14ac:dyDescent="0.35">
      <c r="A56" s="3" t="s">
        <v>229</v>
      </c>
      <c r="B56" s="3" t="s">
        <v>230</v>
      </c>
      <c r="C56" s="21" t="str">
        <f ca="1">IFERROR(__xludf.DUMMYFUNCTION("GOOGLETRANSLATE(B56,""en"",""id"")"),"Bulan sejak pertanyaan terbaru.")</f>
        <v>Bulan sejak pertanyaan terbaru.</v>
      </c>
    </row>
    <row r="57" spans="1:3" ht="14.25" customHeight="1" x14ac:dyDescent="0.35">
      <c r="A57" s="3" t="s">
        <v>231</v>
      </c>
      <c r="B57" s="3" t="s">
        <v>232</v>
      </c>
      <c r="C57" s="21" t="str">
        <f ca="1">IFERROR(__xludf.DUMMYFUNCTION("GOOGLETRANSLATE(B57,""en"",""id"")"),"Bulan sejak rekening bank terbaru dibuka.")</f>
        <v>Bulan sejak rekening bank terbaru dibuka.</v>
      </c>
    </row>
    <row r="58" spans="1:3" ht="14.25" customHeight="1" x14ac:dyDescent="0.35">
      <c r="A58" s="3" t="s">
        <v>233</v>
      </c>
      <c r="B58" s="3" t="s">
        <v>234</v>
      </c>
      <c r="C58" s="21" t="str">
        <f ca="1">IFERROR(__xludf.DUMMYFUNCTION("GOOGLETRANSLATE(B58,""en"",""id"")"),"Bulan sejak kenakalan keuangan pribadi terbaru.")</f>
        <v>Bulan sejak kenakalan keuangan pribadi terbaru.</v>
      </c>
    </row>
    <row r="59" spans="1:3" ht="14.25" customHeight="1" x14ac:dyDescent="0.35">
      <c r="A59" s="3" t="s">
        <v>235</v>
      </c>
      <c r="B59" s="3" t="s">
        <v>236</v>
      </c>
      <c r="C59" s="21" t="str">
        <f ca="1">IFERROR(__xludf.DUMMYFUNCTION("GOOGLETRANSLATE(B59,""en"",""id"")"),"Bulan sejak kenakalan putar terbaru.")</f>
        <v>Bulan sejak kenakalan putar terbaru.</v>
      </c>
    </row>
    <row r="60" spans="1:3" ht="14.25" customHeight="1" x14ac:dyDescent="0.35">
      <c r="A60" s="3" t="s">
        <v>237</v>
      </c>
      <c r="B60" s="3" t="s">
        <v>238</v>
      </c>
      <c r="C60" s="21" t="str">
        <f ca="1">IFERROR(__xludf.DUMMYFUNCTION("GOOGLETRANSLATE(B60,""en"",""id"")"),"Jumlah akun yang pernah 120 hari atau lebih yang lalu jatuh tempo")</f>
        <v>Jumlah akun yang pernah 120 hari atau lebih yang lalu jatuh tempo</v>
      </c>
    </row>
    <row r="61" spans="1:3" ht="14.25" customHeight="1" x14ac:dyDescent="0.35">
      <c r="A61" s="3" t="s">
        <v>239</v>
      </c>
      <c r="B61" s="3" t="s">
        <v>240</v>
      </c>
      <c r="C61" s="21" t="str">
        <f ca="1">IFERROR(__xludf.DUMMYFUNCTION("GOOGLETRANSLATE(B61,""en"",""id"")"),"Jumlah akun kartu bank yang saat ini aktif")</f>
        <v>Jumlah akun kartu bank yang saat ini aktif</v>
      </c>
    </row>
    <row r="62" spans="1:3" ht="14.25" customHeight="1" x14ac:dyDescent="0.35">
      <c r="A62" s="3" t="s">
        <v>241</v>
      </c>
      <c r="B62" s="3" t="s">
        <v>242</v>
      </c>
      <c r="C62" s="21" t="str">
        <f ca="1">IFERROR(__xludf.DUMMYFUNCTION("GOOGLETRANSLATE(B62,""en"",""id"")"),"Jumlah perdagangan revolving yang saat ini aktif")</f>
        <v>Jumlah perdagangan revolving yang saat ini aktif</v>
      </c>
    </row>
    <row r="63" spans="1:3" ht="14.25" customHeight="1" x14ac:dyDescent="0.35">
      <c r="A63" s="3" t="s">
        <v>243</v>
      </c>
      <c r="B63" s="3" t="s">
        <v>244</v>
      </c>
      <c r="C63" s="21" t="str">
        <f ca="1">IFERROR(__xludf.DUMMYFUNCTION("GOOGLETRANSLATE(B63,""en"",""id"")"),"Jumlah rekening kartu bank yang memuaskan")</f>
        <v>Jumlah rekening kartu bank yang memuaskan</v>
      </c>
    </row>
    <row r="64" spans="1:3" ht="14.25" customHeight="1" x14ac:dyDescent="0.35">
      <c r="A64" s="3" t="s">
        <v>245</v>
      </c>
      <c r="B64" s="3" t="s">
        <v>246</v>
      </c>
      <c r="C64" s="21" t="str">
        <f ca="1">IFERROR(__xludf.DUMMYFUNCTION("GOOGLETRANSLATE(B64,""en"",""id"")"),"Jumlah rekening bankcard")</f>
        <v>Jumlah rekening bankcard</v>
      </c>
    </row>
    <row r="65" spans="1:3" ht="14.25" customHeight="1" x14ac:dyDescent="0.35">
      <c r="A65" s="3" t="s">
        <v>247</v>
      </c>
      <c r="B65" s="3" t="s">
        <v>248</v>
      </c>
      <c r="C65" s="21" t="str">
        <f ca="1">IFERROR(__xludf.DUMMYFUNCTION("GOOGLETRANSLATE(B65,""en"",""id"")"),"Jumlah akun angsuran")</f>
        <v>Jumlah akun angsuran</v>
      </c>
    </row>
    <row r="66" spans="1:3" ht="14.25" customHeight="1" x14ac:dyDescent="0.35">
      <c r="A66" s="3" t="s">
        <v>249</v>
      </c>
      <c r="B66" s="3" t="s">
        <v>250</v>
      </c>
      <c r="C66" s="21" t="str">
        <f ca="1">IFERROR(__xludf.DUMMYFUNCTION("GOOGLETRANSLATE(B66,""en"",""id"")"),"Jumlah akun putar terbuka")</f>
        <v>Jumlah akun putar terbuka</v>
      </c>
    </row>
    <row r="67" spans="1:3" ht="14.25" customHeight="1" x14ac:dyDescent="0.35">
      <c r="A67" s="3" t="s">
        <v>251</v>
      </c>
      <c r="B67" s="3" t="s">
        <v>252</v>
      </c>
      <c r="C67" s="21" t="str">
        <f ca="1">IFERROR(__xludf.DUMMYFUNCTION("GOOGLETRANSLATE(B67,""en"",""id"")"),"Jumlah akun putar")</f>
        <v>Jumlah akun putar</v>
      </c>
    </row>
    <row r="68" spans="1:3" ht="14.25" customHeight="1" x14ac:dyDescent="0.35">
      <c r="A68" s="3" t="s">
        <v>253</v>
      </c>
      <c r="B68" s="3" t="s">
        <v>254</v>
      </c>
      <c r="C68" s="21" t="str">
        <f ca="1">IFERROR(__xludf.DUMMYFUNCTION("GOOGLETRANSLATE(B68,""en"",""id"")"),"Jumlah Perdagangan Revolving dengan Saldo&gt; 0")</f>
        <v>Jumlah Perdagangan Revolving dengan Saldo&gt; 0</v>
      </c>
    </row>
    <row r="69" spans="1:3" ht="14.25" customHeight="1" x14ac:dyDescent="0.35">
      <c r="A69" s="3" t="s">
        <v>255</v>
      </c>
      <c r="B69" s="3" t="s">
        <v>256</v>
      </c>
      <c r="C69" s="21" t="str">
        <f ca="1">IFERROR(__xludf.DUMMYFUNCTION("GOOGLETRANSLATE(B69,""en"",""id"")"),"Jumlah akun yang memuaskan")</f>
        <v>Jumlah akun yang memuaskan</v>
      </c>
    </row>
    <row r="70" spans="1:3" ht="14.25" customHeight="1" x14ac:dyDescent="0.35">
      <c r="A70" s="3" t="s">
        <v>257</v>
      </c>
      <c r="B70" s="3" t="s">
        <v>258</v>
      </c>
      <c r="C70" s="21" t="str">
        <f ca="1">IFERROR(__xludf.DUMMYFUNCTION("GOOGLETRANSLATE(B70,""en"",""id"")"),"Jumlah akun yang saat ini 120 hari lewat jatuh tempo (diperbarui dalam 2 bulan terakhir)")</f>
        <v>Jumlah akun yang saat ini 120 hari lewat jatuh tempo (diperbarui dalam 2 bulan terakhir)</v>
      </c>
    </row>
    <row r="71" spans="1:3" ht="14.25" customHeight="1" x14ac:dyDescent="0.35">
      <c r="A71" s="3" t="s">
        <v>259</v>
      </c>
      <c r="B71" s="3" t="s">
        <v>260</v>
      </c>
      <c r="C71" s="21" t="str">
        <f ca="1">IFERROR(__xludf.DUMMYFUNCTION("GOOGLETRANSLATE(B71,""en"",""id"")"),"Jumlah akun yang saat ini 30 hari lewat jatuh tempo (diperbarui dalam 2 bulan terakhir)")</f>
        <v>Jumlah akun yang saat ini 30 hari lewat jatuh tempo (diperbarui dalam 2 bulan terakhir)</v>
      </c>
    </row>
    <row r="72" spans="1:3" ht="14.25" customHeight="1" x14ac:dyDescent="0.35">
      <c r="A72" s="3" t="s">
        <v>261</v>
      </c>
      <c r="B72" s="3" t="s">
        <v>262</v>
      </c>
      <c r="C72" s="21" t="str">
        <f ca="1">IFERROR(__xludf.DUMMYFUNCTION("GOOGLETRANSLATE(B72,""en"",""id"")"),"Jumlah akun 90 hari atau lebih yang lalu jatuh tempo dalam 24 bulan terakhir")</f>
        <v>Jumlah akun 90 hari atau lebih yang lalu jatuh tempo dalam 24 bulan terakhir</v>
      </c>
    </row>
    <row r="73" spans="1:3" ht="14.25" customHeight="1" x14ac:dyDescent="0.35">
      <c r="A73" s="3" t="s">
        <v>263</v>
      </c>
      <c r="B73" s="3" t="s">
        <v>264</v>
      </c>
      <c r="C73" s="21" t="str">
        <f ca="1">IFERROR(__xludf.DUMMYFUNCTION("GOOGLETRANSLATE(B73,""en"",""id"")"),"Jumlah akun dibuka dalam 12 bulan terakhir")</f>
        <v>Jumlah akun dibuka dalam 12 bulan terakhir</v>
      </c>
    </row>
    <row r="74" spans="1:3" ht="14.25" customHeight="1" x14ac:dyDescent="0.35">
      <c r="A74" s="3" t="s">
        <v>91</v>
      </c>
      <c r="B74" s="3" t="s">
        <v>92</v>
      </c>
      <c r="C74" s="21" t="str">
        <f ca="1">IFERROR(__xludf.DUMMYFUNCTION("GOOGLETRANSLATE(B74,""en"",""id"")"),"Jumlah perdagangan terbuka dalam 6 bulan terakhir")</f>
        <v>Jumlah perdagangan terbuka dalam 6 bulan terakhir</v>
      </c>
    </row>
    <row r="75" spans="1:3" ht="14.25" customHeight="1" x14ac:dyDescent="0.35">
      <c r="A75" s="3" t="s">
        <v>93</v>
      </c>
      <c r="B75" s="3" t="s">
        <v>97</v>
      </c>
      <c r="C75" s="21" t="str">
        <f ca="1">IFERROR(__xludf.DUMMYFUNCTION("GOOGLETRANSLATE(B75,""en"",""id"")"),"Jumlah akun angsuran yang dibuka dalam 12 bulan terakhir")</f>
        <v>Jumlah akun angsuran yang dibuka dalam 12 bulan terakhir</v>
      </c>
    </row>
    <row r="76" spans="1:3" ht="14.25" customHeight="1" x14ac:dyDescent="0.35">
      <c r="A76" s="3" t="s">
        <v>94</v>
      </c>
      <c r="B76" s="3" t="s">
        <v>95</v>
      </c>
      <c r="C76" s="21" t="str">
        <f ca="1">IFERROR(__xludf.DUMMYFUNCTION("GOOGLETRANSLATE(B76,""en"",""id"")"),"Jumlah akun angsuran yang dibuka dalam 24 bulan terakhir")</f>
        <v>Jumlah akun angsuran yang dibuka dalam 24 bulan terakhir</v>
      </c>
    </row>
    <row r="77" spans="1:3" ht="14.25" customHeight="1" x14ac:dyDescent="0.35">
      <c r="A77" s="3" t="s">
        <v>96</v>
      </c>
      <c r="B77" s="3" t="s">
        <v>265</v>
      </c>
      <c r="C77" s="21" t="str">
        <f ca="1">IFERROR(__xludf.DUMMYFUNCTION("GOOGLETRANSLATE(B77,""en"",""id"")"),"Jumlah perdagangan angsuran aktif saat ini")</f>
        <v>Jumlah perdagangan angsuran aktif saat ini</v>
      </c>
    </row>
    <row r="78" spans="1:3" ht="14.25" customHeight="1" x14ac:dyDescent="0.35">
      <c r="A78" s="3" t="s">
        <v>98</v>
      </c>
      <c r="B78" s="3" t="s">
        <v>99</v>
      </c>
      <c r="C78" s="21" t="str">
        <f ca="1">IFERROR(__xludf.DUMMYFUNCTION("GOOGLETRANSLATE(B78,""en"",""id"")"),"Jumlah Perdagangan Revolving Dibuka dalam 12 Bulan Terakhir")</f>
        <v>Jumlah Perdagangan Revolving Dibuka dalam 12 Bulan Terakhir</v>
      </c>
    </row>
    <row r="79" spans="1:3" ht="14.25" customHeight="1" x14ac:dyDescent="0.35">
      <c r="A79" s="3" t="s">
        <v>100</v>
      </c>
      <c r="B79" s="3" t="s">
        <v>101</v>
      </c>
      <c r="C79" s="21" t="str">
        <f ca="1">IFERROR(__xludf.DUMMYFUNCTION("GOOGLETRANSLATE(B79,""en"",""id"")"),"Jumlah perdagangan revolving dibuka dalam 24 bulan terakhir")</f>
        <v>Jumlah perdagangan revolving dibuka dalam 24 bulan terakhir</v>
      </c>
    </row>
    <row r="80" spans="1:3" ht="14.25" customHeight="1" x14ac:dyDescent="0.35">
      <c r="A80" s="3" t="s">
        <v>266</v>
      </c>
      <c r="B80" s="3" t="s">
        <v>90</v>
      </c>
      <c r="C80" s="21" t="str">
        <f ca="1">IFERROR(__xludf.DUMMYFUNCTION("GOOGLETRANSLATE(B80,""en"",""id"")"),"Jumlah jalur kredit terbuka dalam file kredit peminjam.")</f>
        <v>Jumlah jalur kredit terbuka dalam file kredit peminjam.</v>
      </c>
    </row>
    <row r="81" spans="1:3" ht="14.25" customHeight="1" x14ac:dyDescent="0.35">
      <c r="A81" s="3" t="s">
        <v>267</v>
      </c>
      <c r="B81" s="3" t="s">
        <v>268</v>
      </c>
      <c r="C81" s="21" t="str">
        <f ca="1">IFERROR(__xludf.DUMMYFUNCTION("GOOGLETRANSLATE(B81,""en"",""id"")"),"Persentase perdagangan tidak pernah berakal")</f>
        <v>Persentase perdagangan tidak pernah berakal</v>
      </c>
    </row>
    <row r="82" spans="1:3" ht="14.25" customHeight="1" x14ac:dyDescent="0.35">
      <c r="A82" s="3" t="s">
        <v>269</v>
      </c>
      <c r="B82" s="3" t="s">
        <v>270</v>
      </c>
      <c r="C82" s="21" t="str">
        <f ca="1">IFERROR(__xludf.DUMMYFUNCTION("GOOGLETRANSLATE(B82,""en"",""id"")"),"Persentase dari semua rekening bank&gt; 75% dari batas.")</f>
        <v>Persentase dari semua rekening bank&gt; 75% dari batas.</v>
      </c>
    </row>
    <row r="83" spans="1:3" ht="14.25" customHeight="1" x14ac:dyDescent="0.35">
      <c r="A83" s="3" t="s">
        <v>271</v>
      </c>
      <c r="B83" s="3" t="s">
        <v>272</v>
      </c>
      <c r="C83" s="21" t="str">
        <f ca="1">IFERROR(__xludf.DUMMYFUNCTION("GOOGLETRANSLATE(B83,""en"",""id"")"),"Jumlah kebangkrutan catatan publik")</f>
        <v>Jumlah kebangkrutan catatan publik</v>
      </c>
    </row>
    <row r="84" spans="1:3" ht="14.25" customHeight="1" x14ac:dyDescent="0.35">
      <c r="A84" s="3" t="s">
        <v>273</v>
      </c>
      <c r="B84" s="3" t="s">
        <v>109</v>
      </c>
      <c r="C84" s="21" t="str">
        <f ca="1">IFERROR(__xludf.DUMMYFUNCTION("GOOGLETRANSLATE(B84,""en"",""id"")"),"Jumlah catatan publik yang menghina")</f>
        <v>Jumlah catatan publik yang menghina</v>
      </c>
    </row>
    <row r="85" spans="1:3" ht="14.25" customHeight="1" x14ac:dyDescent="0.35">
      <c r="A85" s="3" t="s">
        <v>110</v>
      </c>
      <c r="B85" s="3" t="s">
        <v>111</v>
      </c>
      <c r="C85" s="21" t="str">
        <f ca="1">IFERROR(__xludf.DUMMYFUNCTION("GOOGLETRANSLATE(B85,""en"",""id"")"),"Kategori yang disediakan oleh peminjam untuk permintaan pinjaman.")</f>
        <v>Kategori yang disediakan oleh peminjam untuk permintaan pinjaman.</v>
      </c>
    </row>
    <row r="86" spans="1:3" ht="14.25" customHeight="1" x14ac:dyDescent="0.35">
      <c r="A86" s="3" t="s">
        <v>274</v>
      </c>
      <c r="B86" s="3" t="s">
        <v>275</v>
      </c>
      <c r="C86" s="21" t="str">
        <f ca="1">IFERROR(__xludf.DUMMYFUNCTION("GOOGLETRANSLATE(B86,""en"",""id"")"),"Status pinjaman selama periode daftar. Nilai: Disetujui, Not_Approved.")</f>
        <v>Status pinjaman selama periode daftar. Nilai: Disetujui, Not_Approved.</v>
      </c>
    </row>
    <row r="87" spans="1:3" ht="14.25" customHeight="1" x14ac:dyDescent="0.35">
      <c r="A87" s="3" t="s">
        <v>276</v>
      </c>
      <c r="B87" s="3" t="s">
        <v>277</v>
      </c>
      <c r="C87" s="21" t="str">
        <f ca="1">IFERROR(__xludf.DUMMYFUNCTION("GOOGLETRANSLATE(B87,""en"",""id"")"),"Tanggal aplikasi pinjaman ditinjau oleh LC")</f>
        <v>Tanggal aplikasi pinjaman ditinjau oleh LC</v>
      </c>
    </row>
    <row r="88" spans="1:3" ht="14.25" customHeight="1" x14ac:dyDescent="0.35">
      <c r="A88" s="3" t="s">
        <v>278</v>
      </c>
      <c r="B88" s="3" t="s">
        <v>115</v>
      </c>
      <c r="C88" s="21" t="str">
        <f ca="1">IFERROR(__xludf.DUMMYFUNCTION("GOOGLETRANSLATE(B88,""en"",""id"")"),"Total Saldo Revolving Credit")</f>
        <v>Total Saldo Revolving Credit</v>
      </c>
    </row>
    <row r="89" spans="1:3" ht="14.25" customHeight="1" x14ac:dyDescent="0.35">
      <c r="A89" s="3" t="s">
        <v>279</v>
      </c>
      <c r="B89" s="3" t="s">
        <v>280</v>
      </c>
      <c r="C89" s="21" t="str">
        <f ca="1">IFERROR(__xludf.DUMMYFUNCTION("GOOGLETRANSLATE(B89,""en"",""id"")"),"Tingkat pemanfaatan jalur bergulir, atau jumlah kredit yang digunakan peminjam relatif terhadap semua kredit revolving yang tersedia.")</f>
        <v>Tingkat pemanfaatan jalur bergulir, atau jumlah kredit yang digunakan peminjam relatif terhadap semua kredit revolving yang tersedia.</v>
      </c>
    </row>
    <row r="90" spans="1:3" ht="14.25" customHeight="1" x14ac:dyDescent="0.35">
      <c r="A90" s="3" t="s">
        <v>281</v>
      </c>
      <c r="B90" s="3" t="s">
        <v>282</v>
      </c>
      <c r="C90" s="21" t="str">
        <f ca="1">IFERROR(__xludf.DUMMYFUNCTION("GOOGLETRANSLATE(B90,""en"",""id"")"),"Tarif biaya layanan yang dibayarkan oleh investor untuk pinjaman ini.")</f>
        <v>Tarif biaya layanan yang dibayarkan oleh investor untuk pinjaman ini.</v>
      </c>
    </row>
    <row r="91" spans="1:3" ht="14.25" customHeight="1" x14ac:dyDescent="0.35">
      <c r="A91" s="3" t="s">
        <v>283</v>
      </c>
      <c r="B91" s="3" t="s">
        <v>119</v>
      </c>
      <c r="C91" s="21" t="str">
        <f ca="1">IFERROR(__xludf.DUMMYFUNCTION("GOOGLETRANSLATE(B91,""en"",""id"")"),"LC Ditugaskan Subgrade Pinjaman")</f>
        <v>LC Ditugaskan Subgrade Pinjaman</v>
      </c>
    </row>
    <row r="92" spans="1:3" ht="14.25" customHeight="1" x14ac:dyDescent="0.35">
      <c r="A92" s="3" t="s">
        <v>284</v>
      </c>
      <c r="B92" s="3" t="s">
        <v>285</v>
      </c>
      <c r="C92" s="21" t="str">
        <f ca="1">IFERROR(__xludf.DUMMYFUNCTION("GOOGLETRANSLATE(B92,""en"",""id"")"),"Jumlah hak gadai pajak")</f>
        <v>Jumlah hak gadai pajak</v>
      </c>
    </row>
    <row r="93" spans="1:3" ht="14.25" customHeight="1" x14ac:dyDescent="0.35">
      <c r="A93" s="3" t="s">
        <v>120</v>
      </c>
      <c r="B93" s="3" t="s">
        <v>121</v>
      </c>
      <c r="C93" s="21" t="str">
        <f ca="1">IFERROR(__xludf.DUMMYFUNCTION("GOOGLETRANSLATE(B93,""en"",""id"")"),"Jumlah pembayaran atas pinjaman. Nilai dalam beberapa bulan dan dapat berupa 36 atau 60.")</f>
        <v>Jumlah pembayaran atas pinjaman. Nilai dalam beberapa bulan dan dapat berupa 36 atau 60.</v>
      </c>
    </row>
    <row r="94" spans="1:3" ht="14.25" customHeight="1" x14ac:dyDescent="0.35">
      <c r="A94" s="3" t="s">
        <v>122</v>
      </c>
      <c r="B94" s="3" t="s">
        <v>123</v>
      </c>
      <c r="C94" s="21" t="str">
        <f ca="1">IFERROR(__xludf.DUMMYFUNCTION("GOOGLETRANSLATE(B94,""en"",""id"")"),"Judul pinjaman yang disediakan oleh peminjam")</f>
        <v>Judul pinjaman yang disediakan oleh peminjam</v>
      </c>
    </row>
    <row r="95" spans="1:3" ht="14.25" customHeight="1" x14ac:dyDescent="0.35">
      <c r="A95" s="3" t="s">
        <v>124</v>
      </c>
      <c r="B95" s="3" t="s">
        <v>125</v>
      </c>
      <c r="C95" s="21" t="str">
        <f ca="1">IFERROR(__xludf.DUMMYFUNCTION("GOOGLETRANSLATE(B95,""en"",""id"")"),"Total jumlah pengumpulan yang pernah ada")</f>
        <v>Total jumlah pengumpulan yang pernah ada</v>
      </c>
    </row>
    <row r="96" spans="1:3" ht="14.25" customHeight="1" x14ac:dyDescent="0.35">
      <c r="A96" s="3" t="s">
        <v>126</v>
      </c>
      <c r="B96" s="3" t="s">
        <v>127</v>
      </c>
      <c r="C96" s="21" t="str">
        <f ca="1">IFERROR(__xludf.DUMMYFUNCTION("GOOGLETRANSLATE(B96,""en"",""id"")"),"Total Saldo Saat Ini dari Semua Akun")</f>
        <v>Total Saldo Saat Ini dari Semua Akun</v>
      </c>
    </row>
    <row r="97" spans="1:3" ht="14.25" customHeight="1" x14ac:dyDescent="0.35">
      <c r="A97" s="3" t="s">
        <v>286</v>
      </c>
      <c r="B97" s="3" t="s">
        <v>287</v>
      </c>
      <c r="C97" s="21" t="str">
        <f ca="1">IFERROR(__xludf.DUMMYFUNCTION("GOOGLETRANSLATE(B97,""en"",""id"")"),"Total batas kredit/kredit tinggi")</f>
        <v>Total batas kredit/kredit tinggi</v>
      </c>
    </row>
    <row r="98" spans="1:3" ht="14.25" customHeight="1" x14ac:dyDescent="0.35">
      <c r="A98" s="3" t="s">
        <v>130</v>
      </c>
      <c r="B98" s="3" t="s">
        <v>131</v>
      </c>
      <c r="C98" s="21" t="str">
        <f ca="1">IFERROR(__xludf.DUMMYFUNCTION("GOOGLETRANSLATE(B98,""en"",""id"")"),"Total saldo saat ini dari semua akun angsuran")</f>
        <v>Total saldo saat ini dari semua akun angsuran</v>
      </c>
    </row>
    <row r="99" spans="1:3" ht="14.25" customHeight="1" x14ac:dyDescent="0.35">
      <c r="A99" s="3" t="s">
        <v>288</v>
      </c>
      <c r="B99" s="3" t="s">
        <v>133</v>
      </c>
      <c r="C99" s="21" t="str">
        <f ca="1">IFERROR(__xludf.DUMMYFUNCTION("GOOGLETRANSLATE(B99,""en"",""id"")"),"Jumlah Perdagangan Keuangan")</f>
        <v>Jumlah Perdagangan Keuangan</v>
      </c>
    </row>
    <row r="100" spans="1:3" ht="14.25" customHeight="1" x14ac:dyDescent="0.35">
      <c r="A100" s="3" t="s">
        <v>289</v>
      </c>
      <c r="B100" s="3" t="s">
        <v>290</v>
      </c>
      <c r="C100" s="21" t="str">
        <f ca="1">IFERROR(__xludf.DUMMYFUNCTION("GOOGLETRANSLATE(B100,""en"",""id"")"),"Total angsuran Kredit/Kredit Tinggi")</f>
        <v>Total angsuran Kredit/Kredit Tinggi</v>
      </c>
    </row>
    <row r="101" spans="1:3" ht="14.25" customHeight="1" x14ac:dyDescent="0.35">
      <c r="A101" s="3" t="s">
        <v>144</v>
      </c>
      <c r="B101" s="3" t="s">
        <v>145</v>
      </c>
      <c r="C101" s="21" t="str">
        <f ca="1">IFERROR(__xludf.DUMMYFUNCTION("GOOGLETRANSLATE(B101,""en"",""id"")"),"Total Batas Kredit/Kredit Tinggi Revolving")</f>
        <v>Total Batas Kredit/Kredit Tinggi Revolving</v>
      </c>
    </row>
    <row r="102" spans="1:3" ht="14.25" customHeight="1" x14ac:dyDescent="0.35">
      <c r="A102" s="3" t="s">
        <v>291</v>
      </c>
      <c r="B102" s="3" t="s">
        <v>129</v>
      </c>
      <c r="C102" s="21" t="str">
        <f ca="1">IFERROR(__xludf.DUMMYFUNCTION("GOOGLETRANSLATE(B102,""en"",""id"")"),"Jumlah total jalur kredit saat ini dalam file kredit peminjam")</f>
        <v>Jumlah total jalur kredit saat ini dalam file kredit peminjam</v>
      </c>
    </row>
    <row r="103" spans="1:3" ht="14.25" customHeight="1" x14ac:dyDescent="0.35">
      <c r="A103" s="3" t="s">
        <v>292</v>
      </c>
      <c r="B103" s="3" t="s">
        <v>293</v>
      </c>
      <c r="C103" s="21" t="str">
        <f ca="1">IFERROR(__xludf.DUMMYFUNCTION("GOOGLETRANSLATE(B103,""en"",""id"")"),"Total saldo kredit tidak termasuk hipotek")</f>
        <v>Total saldo kredit tidak termasuk hipotek</v>
      </c>
    </row>
    <row r="104" spans="1:3" ht="14.25" customHeight="1" x14ac:dyDescent="0.35">
      <c r="A104" s="3" t="s">
        <v>294</v>
      </c>
      <c r="B104" s="3" t="s">
        <v>295</v>
      </c>
      <c r="C104" s="21" t="str">
        <f ca="1">IFERROR(__xludf.DUMMYFUNCTION("GOOGLETRANSLATE(B104,""en"",""id"")"),"Total batas kredit/batas kredit Bankcard Tinggi")</f>
        <v>Total batas kredit/batas kredit Bankcard Tinggi</v>
      </c>
    </row>
    <row r="105" spans="1:3" ht="14.25" customHeight="1" x14ac:dyDescent="0.35">
      <c r="A105" s="3" t="s">
        <v>146</v>
      </c>
      <c r="B105" s="3" t="s">
        <v>147</v>
      </c>
      <c r="C105" s="21" t="str">
        <f ca="1">IFERROR(__xludf.DUMMYFUNCTION("GOOGLETRANSLATE(B105,""en"",""id"")"),"URL untuk halaman LC dengan data daftar.")</f>
        <v>URL untuk halaman LC dengan data daftar.</v>
      </c>
    </row>
    <row r="106" spans="1:3" ht="14.25" customHeight="1" x14ac:dyDescent="0.35">
      <c r="A106" s="3" t="s">
        <v>148</v>
      </c>
      <c r="B106" s="3" t="s">
        <v>149</v>
      </c>
      <c r="C106" s="21" t="str">
        <f ca="1">IFERROR(__xludf.DUMMYFUNCTION("GOOGLETRANSLATE(B106,""en"",""id"")"),"Menunjukkan jika pendapatan bersama co-peminjam diverifikasi oleh LC, tidak diverifikasi, atau jika sumber pendapatan diverifikasi")</f>
        <v>Menunjukkan jika pendapatan bersama co-peminjam diverifikasi oleh LC, tidak diverifikasi, atau jika sumber pendapatan diverifikasi</v>
      </c>
    </row>
    <row r="107" spans="1:3" ht="14.25" customHeight="1" x14ac:dyDescent="0.35">
      <c r="A107" s="35" t="s">
        <v>150</v>
      </c>
      <c r="B107" s="35" t="s">
        <v>151</v>
      </c>
      <c r="C107" s="21" t="str">
        <f ca="1">IFERROR(__xludf.DUMMYFUNCTION("GOOGLETRANSLATE(B107,""en"",""id"")"),"3 nomor pertama dari kode pos yang disediakan oleh peminjam dalam aplikasi pinjaman.")</f>
        <v>3 nomor pertama dari kode pos yang disediakan oleh peminjam dalam aplikasi pinjaman.</v>
      </c>
    </row>
    <row r="108" spans="1:3" ht="14.25" customHeight="1" x14ac:dyDescent="0.35">
      <c r="A108" s="36"/>
      <c r="B108" s="36"/>
      <c r="C108" s="36"/>
    </row>
    <row r="109" spans="1:3" ht="14.25" customHeight="1" x14ac:dyDescent="0.35">
      <c r="A109" s="36"/>
      <c r="B109" s="11" t="s">
        <v>152</v>
      </c>
      <c r="C109" s="36"/>
    </row>
    <row r="110" spans="1:3" ht="14.25" customHeight="1" x14ac:dyDescent="0.35">
      <c r="A110" s="36"/>
      <c r="B110" s="11"/>
      <c r="C110" s="36"/>
    </row>
    <row r="111" spans="1:3" ht="14.25" customHeight="1" x14ac:dyDescent="0.35">
      <c r="A111" s="36"/>
      <c r="B111" s="11"/>
      <c r="C111" s="36"/>
    </row>
    <row r="112" spans="1:3" ht="14.25" customHeight="1" x14ac:dyDescent="0.35">
      <c r="A112" s="36"/>
      <c r="B112" s="11"/>
      <c r="C112" s="36"/>
    </row>
    <row r="113" spans="1:3" ht="14.25" customHeight="1" x14ac:dyDescent="0.35">
      <c r="A113" s="36"/>
      <c r="B113" s="11"/>
      <c r="C113" s="36"/>
    </row>
    <row r="114" spans="1:3" ht="14.25" customHeight="1" x14ac:dyDescent="0.35">
      <c r="A114" s="36"/>
      <c r="B114" s="11"/>
      <c r="C114" s="36"/>
    </row>
    <row r="115" spans="1:3" ht="14.25" customHeight="1" x14ac:dyDescent="0.35">
      <c r="A115" s="36"/>
      <c r="B115" s="11"/>
      <c r="C115" s="36"/>
    </row>
    <row r="116" spans="1:3" ht="14.25" customHeight="1" x14ac:dyDescent="0.35">
      <c r="A116" s="36"/>
      <c r="B116" s="11"/>
      <c r="C116" s="36"/>
    </row>
    <row r="117" spans="1:3" ht="14.25" customHeight="1" x14ac:dyDescent="0.35">
      <c r="A117" s="36"/>
      <c r="B117" s="11"/>
      <c r="C117" s="36"/>
    </row>
    <row r="118" spans="1:3" ht="14.25" customHeight="1" x14ac:dyDescent="0.35">
      <c r="A118" s="36"/>
      <c r="B118" s="11"/>
      <c r="C118" s="36"/>
    </row>
    <row r="119" spans="1:3" ht="14.25" customHeight="1" x14ac:dyDescent="0.35">
      <c r="A119" s="36"/>
      <c r="B119" s="11"/>
      <c r="C119" s="36"/>
    </row>
    <row r="120" spans="1:3" ht="14.25" customHeight="1" x14ac:dyDescent="0.35">
      <c r="A120" s="36"/>
      <c r="B120" s="11"/>
      <c r="C120" s="36"/>
    </row>
    <row r="121" spans="1:3" ht="14.25" customHeight="1" x14ac:dyDescent="0.35">
      <c r="A121" s="36"/>
      <c r="B121" s="11"/>
      <c r="C121" s="36"/>
    </row>
    <row r="122" spans="1:3" ht="14.25" customHeight="1" x14ac:dyDescent="0.35">
      <c r="A122" s="36"/>
      <c r="B122" s="11"/>
      <c r="C122" s="36"/>
    </row>
    <row r="123" spans="1:3" ht="14.25" customHeight="1" x14ac:dyDescent="0.35">
      <c r="A123" s="36"/>
      <c r="B123" s="11"/>
      <c r="C123" s="36"/>
    </row>
    <row r="124" spans="1:3" ht="14.25" customHeight="1" x14ac:dyDescent="0.35">
      <c r="A124" s="36"/>
      <c r="B124" s="11"/>
      <c r="C124" s="36"/>
    </row>
    <row r="125" spans="1:3" ht="14.25" customHeight="1" x14ac:dyDescent="0.35">
      <c r="A125" s="36"/>
      <c r="B125" s="11"/>
      <c r="C125" s="36"/>
    </row>
    <row r="126" spans="1:3" ht="14.25" customHeight="1" x14ac:dyDescent="0.35">
      <c r="A126" s="36"/>
      <c r="B126" s="11"/>
      <c r="C126" s="36"/>
    </row>
    <row r="127" spans="1:3" ht="14.25" customHeight="1" x14ac:dyDescent="0.35">
      <c r="A127" s="36"/>
      <c r="B127" s="11"/>
      <c r="C127" s="36"/>
    </row>
    <row r="128" spans="1:3" ht="14.25" customHeight="1" x14ac:dyDescent="0.35">
      <c r="A128" s="36"/>
      <c r="B128" s="11"/>
      <c r="C128" s="36"/>
    </row>
    <row r="129" spans="1:3" ht="14.25" customHeight="1" x14ac:dyDescent="0.35">
      <c r="A129" s="36"/>
      <c r="B129" s="11"/>
      <c r="C129" s="36"/>
    </row>
    <row r="130" spans="1:3" ht="14.25" customHeight="1" x14ac:dyDescent="0.35">
      <c r="A130" s="36"/>
      <c r="B130" s="11"/>
      <c r="C130" s="36"/>
    </row>
    <row r="131" spans="1:3" ht="14.25" customHeight="1" x14ac:dyDescent="0.35">
      <c r="A131" s="36"/>
      <c r="B131" s="11"/>
      <c r="C131" s="36"/>
    </row>
    <row r="132" spans="1:3" ht="14.25" customHeight="1" x14ac:dyDescent="0.35">
      <c r="A132" s="36"/>
      <c r="B132" s="11"/>
      <c r="C132" s="36"/>
    </row>
    <row r="133" spans="1:3" ht="14.25" customHeight="1" x14ac:dyDescent="0.35">
      <c r="A133" s="36"/>
      <c r="B133" s="11"/>
      <c r="C133" s="36"/>
    </row>
    <row r="134" spans="1:3" ht="14.25" customHeight="1" x14ac:dyDescent="0.35">
      <c r="A134" s="36"/>
      <c r="B134" s="11"/>
      <c r="C134" s="36"/>
    </row>
    <row r="135" spans="1:3" ht="14.25" customHeight="1" x14ac:dyDescent="0.35">
      <c r="A135" s="36"/>
      <c r="B135" s="11"/>
      <c r="C135" s="36"/>
    </row>
    <row r="136" spans="1:3" ht="14.25" customHeight="1" x14ac:dyDescent="0.35">
      <c r="A136" s="36"/>
      <c r="B136" s="11"/>
      <c r="C136" s="36"/>
    </row>
    <row r="137" spans="1:3" ht="14.25" customHeight="1" x14ac:dyDescent="0.35">
      <c r="A137" s="36"/>
      <c r="B137" s="11"/>
      <c r="C137" s="36"/>
    </row>
    <row r="138" spans="1:3" ht="14.25" customHeight="1" x14ac:dyDescent="0.35">
      <c r="A138" s="36"/>
      <c r="B138" s="11"/>
      <c r="C138" s="36"/>
    </row>
    <row r="139" spans="1:3" ht="14.25" customHeight="1" x14ac:dyDescent="0.35">
      <c r="A139" s="36"/>
      <c r="B139" s="11"/>
      <c r="C139" s="36"/>
    </row>
    <row r="140" spans="1:3" ht="14.25" customHeight="1" x14ac:dyDescent="0.35">
      <c r="A140" s="36"/>
      <c r="B140" s="11"/>
      <c r="C140" s="36"/>
    </row>
    <row r="141" spans="1:3" ht="14.25" customHeight="1" x14ac:dyDescent="0.35">
      <c r="A141" s="36"/>
      <c r="B141" s="11"/>
      <c r="C141" s="36"/>
    </row>
    <row r="142" spans="1:3" ht="14.25" customHeight="1" x14ac:dyDescent="0.35">
      <c r="A142" s="36"/>
      <c r="B142" s="11"/>
      <c r="C142" s="36"/>
    </row>
    <row r="143" spans="1:3" ht="14.25" customHeight="1" x14ac:dyDescent="0.35">
      <c r="A143" s="36"/>
      <c r="B143" s="11"/>
      <c r="C143" s="36"/>
    </row>
    <row r="144" spans="1:3" ht="14.25" customHeight="1" x14ac:dyDescent="0.35">
      <c r="A144" s="36"/>
      <c r="B144" s="11"/>
      <c r="C144" s="36"/>
    </row>
    <row r="145" spans="1:3" ht="14.25" customHeight="1" x14ac:dyDescent="0.35">
      <c r="A145" s="36"/>
      <c r="B145" s="11"/>
      <c r="C145" s="36"/>
    </row>
    <row r="146" spans="1:3" ht="14.25" customHeight="1" x14ac:dyDescent="0.35">
      <c r="A146" s="36"/>
      <c r="B146" s="11"/>
      <c r="C146" s="36"/>
    </row>
    <row r="147" spans="1:3" ht="14.25" customHeight="1" x14ac:dyDescent="0.35">
      <c r="A147" s="36"/>
      <c r="B147" s="11"/>
      <c r="C147" s="36"/>
    </row>
    <row r="148" spans="1:3" ht="14.25" customHeight="1" x14ac:dyDescent="0.35">
      <c r="A148" s="36"/>
      <c r="B148" s="11"/>
      <c r="C148" s="36"/>
    </row>
    <row r="149" spans="1:3" ht="14.25" customHeight="1" x14ac:dyDescent="0.35">
      <c r="A149" s="36"/>
      <c r="B149" s="11"/>
      <c r="C149" s="36"/>
    </row>
    <row r="150" spans="1:3" ht="14.25" customHeight="1" x14ac:dyDescent="0.35">
      <c r="A150" s="36"/>
      <c r="B150" s="11"/>
      <c r="C150" s="36"/>
    </row>
    <row r="151" spans="1:3" ht="14.25" customHeight="1" x14ac:dyDescent="0.35">
      <c r="A151" s="36"/>
      <c r="B151" s="11"/>
      <c r="C151" s="36"/>
    </row>
    <row r="152" spans="1:3" ht="14.25" customHeight="1" x14ac:dyDescent="0.35">
      <c r="A152" s="36"/>
      <c r="B152" s="11"/>
      <c r="C152" s="36"/>
    </row>
    <row r="153" spans="1:3" ht="14.25" customHeight="1" x14ac:dyDescent="0.35">
      <c r="A153" s="36"/>
      <c r="B153" s="11"/>
      <c r="C153" s="36"/>
    </row>
    <row r="154" spans="1:3" ht="14.25" customHeight="1" x14ac:dyDescent="0.35">
      <c r="A154" s="36"/>
      <c r="B154" s="11"/>
      <c r="C154" s="36"/>
    </row>
    <row r="155" spans="1:3" ht="14.25" customHeight="1" x14ac:dyDescent="0.35">
      <c r="A155" s="36"/>
      <c r="B155" s="11"/>
      <c r="C155" s="36"/>
    </row>
    <row r="156" spans="1:3" ht="14.25" customHeight="1" x14ac:dyDescent="0.35">
      <c r="A156" s="36"/>
      <c r="B156" s="11"/>
      <c r="C156" s="36"/>
    </row>
    <row r="157" spans="1:3" ht="14.25" customHeight="1" x14ac:dyDescent="0.35">
      <c r="A157" s="36"/>
      <c r="B157" s="11"/>
      <c r="C157" s="36"/>
    </row>
    <row r="158" spans="1:3" ht="14.25" customHeight="1" x14ac:dyDescent="0.35">
      <c r="A158" s="36"/>
      <c r="B158" s="11"/>
      <c r="C158" s="36"/>
    </row>
    <row r="159" spans="1:3" ht="14.25" customHeight="1" x14ac:dyDescent="0.35">
      <c r="A159" s="36"/>
      <c r="B159" s="11"/>
      <c r="C159" s="36"/>
    </row>
    <row r="160" spans="1:3" ht="14.25" customHeight="1" x14ac:dyDescent="0.35">
      <c r="A160" s="36"/>
      <c r="B160" s="11"/>
      <c r="C160" s="36"/>
    </row>
    <row r="161" spans="1:3" ht="14.25" customHeight="1" x14ac:dyDescent="0.35">
      <c r="A161" s="36"/>
      <c r="B161" s="11"/>
      <c r="C161" s="36"/>
    </row>
    <row r="162" spans="1:3" ht="14.25" customHeight="1" x14ac:dyDescent="0.35">
      <c r="A162" s="36"/>
      <c r="B162" s="11"/>
      <c r="C162" s="36"/>
    </row>
    <row r="163" spans="1:3" ht="14.25" customHeight="1" x14ac:dyDescent="0.35">
      <c r="A163" s="36"/>
      <c r="B163" s="11"/>
      <c r="C163" s="36"/>
    </row>
    <row r="164" spans="1:3" ht="14.25" customHeight="1" x14ac:dyDescent="0.35">
      <c r="A164" s="36"/>
      <c r="B164" s="11"/>
      <c r="C164" s="36"/>
    </row>
    <row r="165" spans="1:3" ht="14.25" customHeight="1" x14ac:dyDescent="0.35">
      <c r="A165" s="36"/>
      <c r="B165" s="11"/>
      <c r="C165" s="36"/>
    </row>
    <row r="166" spans="1:3" ht="14.25" customHeight="1" x14ac:dyDescent="0.35">
      <c r="A166" s="36"/>
      <c r="B166" s="11"/>
      <c r="C166" s="36"/>
    </row>
    <row r="167" spans="1:3" ht="14.25" customHeight="1" x14ac:dyDescent="0.35">
      <c r="A167" s="36"/>
      <c r="B167" s="11"/>
      <c r="C167" s="36"/>
    </row>
    <row r="168" spans="1:3" ht="14.25" customHeight="1" x14ac:dyDescent="0.35">
      <c r="A168" s="36"/>
      <c r="B168" s="11"/>
      <c r="C168" s="36"/>
    </row>
    <row r="169" spans="1:3" ht="14.25" customHeight="1" x14ac:dyDescent="0.35">
      <c r="A169" s="36"/>
      <c r="B169" s="11"/>
      <c r="C169" s="36"/>
    </row>
    <row r="170" spans="1:3" ht="14.25" customHeight="1" x14ac:dyDescent="0.35">
      <c r="A170" s="36"/>
      <c r="B170" s="11"/>
      <c r="C170" s="36"/>
    </row>
    <row r="171" spans="1:3" ht="14.25" customHeight="1" x14ac:dyDescent="0.35">
      <c r="A171" s="36"/>
      <c r="B171" s="11"/>
      <c r="C171" s="36"/>
    </row>
    <row r="172" spans="1:3" ht="14.25" customHeight="1" x14ac:dyDescent="0.35">
      <c r="A172" s="36"/>
      <c r="B172" s="11"/>
      <c r="C172" s="36"/>
    </row>
    <row r="173" spans="1:3" ht="14.25" customHeight="1" x14ac:dyDescent="0.35">
      <c r="A173" s="36"/>
      <c r="B173" s="11"/>
      <c r="C173" s="36"/>
    </row>
    <row r="174" spans="1:3" ht="14.25" customHeight="1" x14ac:dyDescent="0.35">
      <c r="A174" s="36"/>
      <c r="B174" s="11"/>
      <c r="C174" s="36"/>
    </row>
    <row r="175" spans="1:3" ht="14.25" customHeight="1" x14ac:dyDescent="0.35">
      <c r="A175" s="36"/>
      <c r="B175" s="11"/>
      <c r="C175" s="36"/>
    </row>
    <row r="176" spans="1:3" ht="14.25" customHeight="1" x14ac:dyDescent="0.35">
      <c r="A176" s="36"/>
      <c r="B176" s="11"/>
      <c r="C176" s="36"/>
    </row>
    <row r="177" spans="1:3" ht="14.25" customHeight="1" x14ac:dyDescent="0.35">
      <c r="A177" s="36"/>
      <c r="B177" s="11"/>
      <c r="C177" s="36"/>
    </row>
    <row r="178" spans="1:3" ht="14.25" customHeight="1" x14ac:dyDescent="0.35">
      <c r="A178" s="36"/>
      <c r="B178" s="11"/>
      <c r="C178" s="36"/>
    </row>
    <row r="179" spans="1:3" ht="14.25" customHeight="1" x14ac:dyDescent="0.35">
      <c r="A179" s="36"/>
      <c r="B179" s="11"/>
      <c r="C179" s="36"/>
    </row>
    <row r="180" spans="1:3" ht="14.25" customHeight="1" x14ac:dyDescent="0.35">
      <c r="A180" s="36"/>
      <c r="B180" s="11"/>
      <c r="C180" s="36"/>
    </row>
    <row r="181" spans="1:3" ht="14.25" customHeight="1" x14ac:dyDescent="0.35">
      <c r="A181" s="36"/>
      <c r="B181" s="11"/>
      <c r="C181" s="36"/>
    </row>
    <row r="182" spans="1:3" ht="14.25" customHeight="1" x14ac:dyDescent="0.35">
      <c r="A182" s="36"/>
      <c r="B182" s="11"/>
      <c r="C182" s="36"/>
    </row>
    <row r="183" spans="1:3" ht="14.25" customHeight="1" x14ac:dyDescent="0.35">
      <c r="A183" s="36"/>
      <c r="B183" s="11"/>
      <c r="C183" s="36"/>
    </row>
    <row r="184" spans="1:3" ht="14.25" customHeight="1" x14ac:dyDescent="0.35">
      <c r="A184" s="36"/>
      <c r="B184" s="11"/>
      <c r="C184" s="36"/>
    </row>
    <row r="185" spans="1:3" ht="14.25" customHeight="1" x14ac:dyDescent="0.35">
      <c r="A185" s="36"/>
      <c r="B185" s="11"/>
      <c r="C185" s="36"/>
    </row>
    <row r="186" spans="1:3" ht="14.25" customHeight="1" x14ac:dyDescent="0.35">
      <c r="A186" s="36"/>
      <c r="B186" s="11"/>
      <c r="C186" s="36"/>
    </row>
    <row r="187" spans="1:3" ht="14.25" customHeight="1" x14ac:dyDescent="0.35">
      <c r="A187" s="36"/>
      <c r="B187" s="11"/>
      <c r="C187" s="36"/>
    </row>
    <row r="188" spans="1:3" ht="14.25" customHeight="1" x14ac:dyDescent="0.35">
      <c r="A188" s="36"/>
      <c r="B188" s="11"/>
      <c r="C188" s="36"/>
    </row>
    <row r="189" spans="1:3" ht="14.25" customHeight="1" x14ac:dyDescent="0.35">
      <c r="A189" s="36"/>
      <c r="B189" s="11"/>
      <c r="C189" s="36"/>
    </row>
    <row r="190" spans="1:3" ht="14.25" customHeight="1" x14ac:dyDescent="0.35">
      <c r="A190" s="36"/>
      <c r="B190" s="11"/>
      <c r="C190" s="36"/>
    </row>
    <row r="191" spans="1:3" ht="14.25" customHeight="1" x14ac:dyDescent="0.35">
      <c r="A191" s="36"/>
      <c r="B191" s="11"/>
      <c r="C191" s="36"/>
    </row>
    <row r="192" spans="1:3" ht="14.25" customHeight="1" x14ac:dyDescent="0.35">
      <c r="A192" s="36"/>
      <c r="B192" s="11"/>
      <c r="C192" s="36"/>
    </row>
    <row r="193" spans="1:3" ht="14.25" customHeight="1" x14ac:dyDescent="0.35">
      <c r="A193" s="36"/>
      <c r="B193" s="11"/>
      <c r="C193" s="36"/>
    </row>
    <row r="194" spans="1:3" ht="14.25" customHeight="1" x14ac:dyDescent="0.35">
      <c r="A194" s="36"/>
      <c r="B194" s="11"/>
      <c r="C194" s="36"/>
    </row>
    <row r="195" spans="1:3" ht="14.25" customHeight="1" x14ac:dyDescent="0.35">
      <c r="A195" s="36"/>
      <c r="B195" s="11"/>
      <c r="C195" s="36"/>
    </row>
    <row r="196" spans="1:3" ht="14.25" customHeight="1" x14ac:dyDescent="0.35">
      <c r="A196" s="36"/>
      <c r="B196" s="11"/>
      <c r="C196" s="36"/>
    </row>
    <row r="197" spans="1:3" ht="14.25" customHeight="1" x14ac:dyDescent="0.35">
      <c r="A197" s="36"/>
      <c r="B197" s="11"/>
      <c r="C197" s="36"/>
    </row>
    <row r="198" spans="1:3" ht="14.25" customHeight="1" x14ac:dyDescent="0.35">
      <c r="A198" s="36"/>
      <c r="B198" s="11"/>
      <c r="C198" s="36"/>
    </row>
    <row r="199" spans="1:3" ht="14.25" customHeight="1" x14ac:dyDescent="0.35">
      <c r="A199" s="36"/>
      <c r="B199" s="11"/>
      <c r="C199" s="36"/>
    </row>
    <row r="200" spans="1:3" ht="14.25" customHeight="1" x14ac:dyDescent="0.35">
      <c r="A200" s="36"/>
      <c r="B200" s="11"/>
      <c r="C200" s="36"/>
    </row>
    <row r="201" spans="1:3" ht="14.25" customHeight="1" x14ac:dyDescent="0.35">
      <c r="A201" s="36"/>
      <c r="B201" s="11"/>
      <c r="C201" s="36"/>
    </row>
    <row r="202" spans="1:3" ht="14.25" customHeight="1" x14ac:dyDescent="0.35">
      <c r="A202" s="36"/>
      <c r="B202" s="11"/>
      <c r="C202" s="36"/>
    </row>
    <row r="203" spans="1:3" ht="14.25" customHeight="1" x14ac:dyDescent="0.35">
      <c r="A203" s="36"/>
      <c r="B203" s="11"/>
      <c r="C203" s="36"/>
    </row>
    <row r="204" spans="1:3" ht="14.25" customHeight="1" x14ac:dyDescent="0.35">
      <c r="A204" s="36"/>
      <c r="B204" s="11"/>
      <c r="C204" s="36"/>
    </row>
    <row r="205" spans="1:3" ht="14.25" customHeight="1" x14ac:dyDescent="0.35">
      <c r="A205" s="36"/>
      <c r="B205" s="11"/>
      <c r="C205" s="36"/>
    </row>
    <row r="206" spans="1:3" ht="14.25" customHeight="1" x14ac:dyDescent="0.35">
      <c r="A206" s="36"/>
      <c r="B206" s="11"/>
      <c r="C206" s="36"/>
    </row>
    <row r="207" spans="1:3" ht="14.25" customHeight="1" x14ac:dyDescent="0.35">
      <c r="A207" s="36"/>
      <c r="B207" s="11"/>
      <c r="C207" s="36"/>
    </row>
    <row r="208" spans="1:3" ht="14.25" customHeight="1" x14ac:dyDescent="0.35">
      <c r="A208" s="36"/>
      <c r="B208" s="11"/>
      <c r="C208" s="36"/>
    </row>
    <row r="209" spans="1:3" ht="14.25" customHeight="1" x14ac:dyDescent="0.35">
      <c r="A209" s="36"/>
      <c r="B209" s="11"/>
      <c r="C209" s="36"/>
    </row>
    <row r="210" spans="1:3" ht="14.25" customHeight="1" x14ac:dyDescent="0.35">
      <c r="A210" s="36"/>
      <c r="B210" s="11"/>
      <c r="C210" s="36"/>
    </row>
    <row r="211" spans="1:3" ht="14.25" customHeight="1" x14ac:dyDescent="0.35">
      <c r="A211" s="36"/>
      <c r="B211" s="11"/>
      <c r="C211" s="36"/>
    </row>
    <row r="212" spans="1:3" ht="14.25" customHeight="1" x14ac:dyDescent="0.35">
      <c r="A212" s="36"/>
      <c r="B212" s="11"/>
      <c r="C212" s="36"/>
    </row>
    <row r="213" spans="1:3" ht="14.25" customHeight="1" x14ac:dyDescent="0.35">
      <c r="A213" s="36"/>
      <c r="B213" s="11"/>
      <c r="C213" s="36"/>
    </row>
    <row r="214" spans="1:3" ht="14.25" customHeight="1" x14ac:dyDescent="0.35">
      <c r="A214" s="36"/>
      <c r="B214" s="11"/>
      <c r="C214" s="36"/>
    </row>
    <row r="215" spans="1:3" ht="14.25" customHeight="1" x14ac:dyDescent="0.35">
      <c r="A215" s="36"/>
      <c r="B215" s="11"/>
      <c r="C215" s="36"/>
    </row>
    <row r="216" spans="1:3" ht="14.25" customHeight="1" x14ac:dyDescent="0.35">
      <c r="A216" s="36"/>
      <c r="B216" s="11"/>
      <c r="C216" s="36"/>
    </row>
    <row r="217" spans="1:3" ht="14.25" customHeight="1" x14ac:dyDescent="0.35">
      <c r="A217" s="36"/>
      <c r="B217" s="11"/>
      <c r="C217" s="36"/>
    </row>
    <row r="218" spans="1:3" ht="14.25" customHeight="1" x14ac:dyDescent="0.35">
      <c r="A218" s="36"/>
      <c r="B218" s="11"/>
      <c r="C218" s="36"/>
    </row>
    <row r="219" spans="1:3" ht="14.25" customHeight="1" x14ac:dyDescent="0.35">
      <c r="A219" s="36"/>
      <c r="B219" s="11"/>
      <c r="C219" s="36"/>
    </row>
    <row r="220" spans="1:3" ht="14.25" customHeight="1" x14ac:dyDescent="0.35">
      <c r="A220" s="36"/>
      <c r="B220" s="11"/>
      <c r="C220" s="36"/>
    </row>
    <row r="221" spans="1:3" ht="14.25" customHeight="1" x14ac:dyDescent="0.35">
      <c r="A221" s="36"/>
      <c r="B221" s="11"/>
      <c r="C221" s="36"/>
    </row>
    <row r="222" spans="1:3" ht="14.25" customHeight="1" x14ac:dyDescent="0.35">
      <c r="A222" s="36"/>
      <c r="B222" s="11"/>
      <c r="C222" s="36"/>
    </row>
    <row r="223" spans="1:3" ht="14.25" customHeight="1" x14ac:dyDescent="0.35">
      <c r="A223" s="36"/>
      <c r="B223" s="11"/>
      <c r="C223" s="36"/>
    </row>
    <row r="224" spans="1:3" ht="14.25" customHeight="1" x14ac:dyDescent="0.35">
      <c r="A224" s="36"/>
      <c r="B224" s="11"/>
      <c r="C224" s="36"/>
    </row>
    <row r="225" spans="1:3" ht="14.25" customHeight="1" x14ac:dyDescent="0.35">
      <c r="A225" s="36"/>
      <c r="B225" s="11"/>
      <c r="C225" s="36"/>
    </row>
    <row r="226" spans="1:3" ht="14.25" customHeight="1" x14ac:dyDescent="0.35">
      <c r="A226" s="36"/>
      <c r="B226" s="11"/>
      <c r="C226" s="36"/>
    </row>
    <row r="227" spans="1:3" ht="14.25" customHeight="1" x14ac:dyDescent="0.35">
      <c r="A227" s="36"/>
      <c r="B227" s="11"/>
      <c r="C227" s="36"/>
    </row>
    <row r="228" spans="1:3" ht="14.25" customHeight="1" x14ac:dyDescent="0.35">
      <c r="A228" s="36"/>
      <c r="B228" s="11"/>
      <c r="C228" s="36"/>
    </row>
    <row r="229" spans="1:3" ht="14.25" customHeight="1" x14ac:dyDescent="0.35">
      <c r="A229" s="36"/>
      <c r="B229" s="11"/>
      <c r="C229" s="36"/>
    </row>
    <row r="230" spans="1:3" ht="14.25" customHeight="1" x14ac:dyDescent="0.35">
      <c r="A230" s="36"/>
      <c r="B230" s="11"/>
      <c r="C230" s="36"/>
    </row>
    <row r="231" spans="1:3" ht="14.25" customHeight="1" x14ac:dyDescent="0.35">
      <c r="A231" s="36"/>
      <c r="B231" s="11"/>
      <c r="C231" s="36"/>
    </row>
    <row r="232" spans="1:3" ht="14.25" customHeight="1" x14ac:dyDescent="0.35">
      <c r="A232" s="36"/>
      <c r="B232" s="11"/>
      <c r="C232" s="36"/>
    </row>
    <row r="233" spans="1:3" ht="14.25" customHeight="1" x14ac:dyDescent="0.35">
      <c r="A233" s="36"/>
      <c r="B233" s="11"/>
      <c r="C233" s="36"/>
    </row>
    <row r="234" spans="1:3" ht="14.25" customHeight="1" x14ac:dyDescent="0.35">
      <c r="A234" s="36"/>
      <c r="B234" s="11"/>
      <c r="C234" s="36"/>
    </row>
    <row r="235" spans="1:3" ht="14.25" customHeight="1" x14ac:dyDescent="0.35">
      <c r="A235" s="36"/>
      <c r="B235" s="11"/>
      <c r="C235" s="36"/>
    </row>
    <row r="236" spans="1:3" ht="14.25" customHeight="1" x14ac:dyDescent="0.35">
      <c r="A236" s="36"/>
      <c r="B236" s="11"/>
      <c r="C236" s="36"/>
    </row>
    <row r="237" spans="1:3" ht="14.25" customHeight="1" x14ac:dyDescent="0.35">
      <c r="A237" s="36"/>
      <c r="B237" s="11"/>
      <c r="C237" s="36"/>
    </row>
    <row r="238" spans="1:3" ht="14.25" customHeight="1" x14ac:dyDescent="0.35">
      <c r="A238" s="36"/>
      <c r="B238" s="11"/>
      <c r="C238" s="36"/>
    </row>
    <row r="239" spans="1:3" ht="14.25" customHeight="1" x14ac:dyDescent="0.35">
      <c r="A239" s="36"/>
      <c r="B239" s="11"/>
      <c r="C239" s="36"/>
    </row>
    <row r="240" spans="1:3" ht="14.25" customHeight="1" x14ac:dyDescent="0.35">
      <c r="A240" s="36"/>
      <c r="B240" s="11"/>
      <c r="C240" s="36"/>
    </row>
    <row r="241" spans="1:3" ht="14.25" customHeight="1" x14ac:dyDescent="0.35">
      <c r="A241" s="36"/>
      <c r="B241" s="11"/>
      <c r="C241" s="36"/>
    </row>
    <row r="242" spans="1:3" ht="14.25" customHeight="1" x14ac:dyDescent="0.35">
      <c r="A242" s="36"/>
      <c r="B242" s="11"/>
      <c r="C242" s="36"/>
    </row>
    <row r="243" spans="1:3" ht="14.25" customHeight="1" x14ac:dyDescent="0.35">
      <c r="A243" s="36"/>
      <c r="B243" s="11"/>
      <c r="C243" s="36"/>
    </row>
    <row r="244" spans="1:3" ht="14.25" customHeight="1" x14ac:dyDescent="0.35">
      <c r="A244" s="36"/>
      <c r="B244" s="11"/>
      <c r="C244" s="36"/>
    </row>
    <row r="245" spans="1:3" ht="14.25" customHeight="1" x14ac:dyDescent="0.35">
      <c r="A245" s="36"/>
      <c r="B245" s="11"/>
      <c r="C245" s="36"/>
    </row>
    <row r="246" spans="1:3" ht="14.25" customHeight="1" x14ac:dyDescent="0.35">
      <c r="A246" s="36"/>
      <c r="B246" s="11"/>
      <c r="C246" s="36"/>
    </row>
    <row r="247" spans="1:3" ht="14.25" customHeight="1" x14ac:dyDescent="0.35">
      <c r="A247" s="36"/>
      <c r="B247" s="11"/>
      <c r="C247" s="36"/>
    </row>
    <row r="248" spans="1:3" ht="14.25" customHeight="1" x14ac:dyDescent="0.35">
      <c r="A248" s="36"/>
      <c r="B248" s="11"/>
      <c r="C248" s="36"/>
    </row>
    <row r="249" spans="1:3" ht="14.25" customHeight="1" x14ac:dyDescent="0.35">
      <c r="A249" s="36"/>
      <c r="B249" s="11"/>
      <c r="C249" s="36"/>
    </row>
    <row r="250" spans="1:3" ht="14.25" customHeight="1" x14ac:dyDescent="0.35">
      <c r="A250" s="36"/>
      <c r="B250" s="11"/>
      <c r="C250" s="36"/>
    </row>
    <row r="251" spans="1:3" ht="14.25" customHeight="1" x14ac:dyDescent="0.35">
      <c r="A251" s="36"/>
      <c r="B251" s="11"/>
      <c r="C251" s="36"/>
    </row>
    <row r="252" spans="1:3" ht="14.25" customHeight="1" x14ac:dyDescent="0.35">
      <c r="A252" s="36"/>
      <c r="B252" s="11"/>
      <c r="C252" s="36"/>
    </row>
    <row r="253" spans="1:3" ht="14.25" customHeight="1" x14ac:dyDescent="0.35">
      <c r="A253" s="36"/>
      <c r="B253" s="11"/>
      <c r="C253" s="36"/>
    </row>
    <row r="254" spans="1:3" ht="14.25" customHeight="1" x14ac:dyDescent="0.35">
      <c r="A254" s="36"/>
      <c r="B254" s="11"/>
      <c r="C254" s="36"/>
    </row>
    <row r="255" spans="1:3" ht="14.25" customHeight="1" x14ac:dyDescent="0.35">
      <c r="A255" s="36"/>
      <c r="B255" s="11"/>
      <c r="C255" s="36"/>
    </row>
    <row r="256" spans="1:3" ht="14.25" customHeight="1" x14ac:dyDescent="0.35">
      <c r="A256" s="36"/>
      <c r="B256" s="11"/>
      <c r="C256" s="36"/>
    </row>
    <row r="257" spans="1:3" ht="14.25" customHeight="1" x14ac:dyDescent="0.35">
      <c r="A257" s="36"/>
      <c r="B257" s="11"/>
      <c r="C257" s="36"/>
    </row>
    <row r="258" spans="1:3" ht="14.25" customHeight="1" x14ac:dyDescent="0.35">
      <c r="A258" s="36"/>
      <c r="B258" s="11"/>
      <c r="C258" s="36"/>
    </row>
    <row r="259" spans="1:3" ht="14.25" customHeight="1" x14ac:dyDescent="0.35">
      <c r="A259" s="36"/>
      <c r="B259" s="11"/>
      <c r="C259" s="36"/>
    </row>
    <row r="260" spans="1:3" ht="14.25" customHeight="1" x14ac:dyDescent="0.35">
      <c r="A260" s="36"/>
      <c r="B260" s="11"/>
      <c r="C260" s="36"/>
    </row>
    <row r="261" spans="1:3" ht="14.25" customHeight="1" x14ac:dyDescent="0.35">
      <c r="A261" s="36"/>
      <c r="B261" s="11"/>
      <c r="C261" s="36"/>
    </row>
    <row r="262" spans="1:3" ht="14.25" customHeight="1" x14ac:dyDescent="0.35">
      <c r="A262" s="36"/>
      <c r="B262" s="11"/>
      <c r="C262" s="36"/>
    </row>
    <row r="263" spans="1:3" ht="14.25" customHeight="1" x14ac:dyDescent="0.35">
      <c r="A263" s="36"/>
      <c r="B263" s="11"/>
      <c r="C263" s="36"/>
    </row>
    <row r="264" spans="1:3" ht="14.25" customHeight="1" x14ac:dyDescent="0.35">
      <c r="A264" s="36"/>
      <c r="B264" s="11"/>
      <c r="C264" s="36"/>
    </row>
    <row r="265" spans="1:3" ht="14.25" customHeight="1" x14ac:dyDescent="0.35">
      <c r="A265" s="36"/>
      <c r="B265" s="11"/>
      <c r="C265" s="36"/>
    </row>
    <row r="266" spans="1:3" ht="14.25" customHeight="1" x14ac:dyDescent="0.35">
      <c r="A266" s="36"/>
      <c r="B266" s="11"/>
      <c r="C266" s="36"/>
    </row>
    <row r="267" spans="1:3" ht="14.25" customHeight="1" x14ac:dyDescent="0.35">
      <c r="A267" s="36"/>
      <c r="B267" s="11"/>
      <c r="C267" s="36"/>
    </row>
    <row r="268" spans="1:3" ht="14.25" customHeight="1" x14ac:dyDescent="0.35">
      <c r="A268" s="36"/>
      <c r="B268" s="11"/>
      <c r="C268" s="36"/>
    </row>
    <row r="269" spans="1:3" ht="14.25" customHeight="1" x14ac:dyDescent="0.35">
      <c r="A269" s="36"/>
      <c r="B269" s="11"/>
      <c r="C269" s="36"/>
    </row>
    <row r="270" spans="1:3" ht="14.25" customHeight="1" x14ac:dyDescent="0.35">
      <c r="A270" s="36"/>
      <c r="B270" s="11"/>
      <c r="C270" s="36"/>
    </row>
    <row r="271" spans="1:3" ht="14.25" customHeight="1" x14ac:dyDescent="0.35">
      <c r="A271" s="36"/>
      <c r="B271" s="11"/>
      <c r="C271" s="36"/>
    </row>
    <row r="272" spans="1:3" ht="14.25" customHeight="1" x14ac:dyDescent="0.35">
      <c r="A272" s="36"/>
      <c r="B272" s="11"/>
      <c r="C272" s="36"/>
    </row>
    <row r="273" spans="1:3" ht="14.25" customHeight="1" x14ac:dyDescent="0.35">
      <c r="A273" s="36"/>
      <c r="B273" s="11"/>
      <c r="C273" s="36"/>
    </row>
    <row r="274" spans="1:3" ht="14.25" customHeight="1" x14ac:dyDescent="0.35">
      <c r="A274" s="36"/>
      <c r="B274" s="11"/>
      <c r="C274" s="36"/>
    </row>
    <row r="275" spans="1:3" ht="14.25" customHeight="1" x14ac:dyDescent="0.35">
      <c r="A275" s="36"/>
      <c r="B275" s="11"/>
      <c r="C275" s="36"/>
    </row>
    <row r="276" spans="1:3" ht="14.25" customHeight="1" x14ac:dyDescent="0.35">
      <c r="A276" s="36"/>
      <c r="B276" s="11"/>
      <c r="C276" s="36"/>
    </row>
    <row r="277" spans="1:3" ht="14.25" customHeight="1" x14ac:dyDescent="0.35">
      <c r="A277" s="36"/>
      <c r="B277" s="11"/>
      <c r="C277" s="36"/>
    </row>
    <row r="278" spans="1:3" ht="14.25" customHeight="1" x14ac:dyDescent="0.35">
      <c r="A278" s="36"/>
      <c r="B278" s="11"/>
      <c r="C278" s="36"/>
    </row>
    <row r="279" spans="1:3" ht="14.25" customHeight="1" x14ac:dyDescent="0.35">
      <c r="A279" s="36"/>
      <c r="B279" s="11"/>
      <c r="C279" s="36"/>
    </row>
    <row r="280" spans="1:3" ht="14.25" customHeight="1" x14ac:dyDescent="0.35">
      <c r="A280" s="36"/>
      <c r="B280" s="11"/>
      <c r="C280" s="36"/>
    </row>
    <row r="281" spans="1:3" ht="14.25" customHeight="1" x14ac:dyDescent="0.35">
      <c r="A281" s="36"/>
      <c r="B281" s="11"/>
      <c r="C281" s="36"/>
    </row>
    <row r="282" spans="1:3" ht="14.25" customHeight="1" x14ac:dyDescent="0.35">
      <c r="A282" s="36"/>
      <c r="B282" s="11"/>
      <c r="C282" s="36"/>
    </row>
    <row r="283" spans="1:3" ht="14.25" customHeight="1" x14ac:dyDescent="0.35">
      <c r="A283" s="36"/>
      <c r="B283" s="11"/>
      <c r="C283" s="36"/>
    </row>
    <row r="284" spans="1:3" ht="14.25" customHeight="1" x14ac:dyDescent="0.35">
      <c r="A284" s="36"/>
      <c r="B284" s="11"/>
      <c r="C284" s="36"/>
    </row>
    <row r="285" spans="1:3" ht="14.25" customHeight="1" x14ac:dyDescent="0.35">
      <c r="A285" s="36"/>
      <c r="B285" s="11"/>
      <c r="C285" s="36"/>
    </row>
    <row r="286" spans="1:3" ht="14.25" customHeight="1" x14ac:dyDescent="0.35">
      <c r="A286" s="36"/>
      <c r="B286" s="11"/>
      <c r="C286" s="36"/>
    </row>
    <row r="287" spans="1:3" ht="14.25" customHeight="1" x14ac:dyDescent="0.35">
      <c r="A287" s="36"/>
      <c r="B287" s="11"/>
      <c r="C287" s="36"/>
    </row>
    <row r="288" spans="1:3" ht="14.25" customHeight="1" x14ac:dyDescent="0.35">
      <c r="A288" s="36"/>
      <c r="B288" s="11"/>
      <c r="C288" s="36"/>
    </row>
    <row r="289" spans="1:3" ht="14.25" customHeight="1" x14ac:dyDescent="0.35">
      <c r="A289" s="36"/>
      <c r="B289" s="11"/>
      <c r="C289" s="36"/>
    </row>
    <row r="290" spans="1:3" ht="14.25" customHeight="1" x14ac:dyDescent="0.35">
      <c r="A290" s="36"/>
      <c r="B290" s="11"/>
      <c r="C290" s="36"/>
    </row>
    <row r="291" spans="1:3" ht="14.25" customHeight="1" x14ac:dyDescent="0.35">
      <c r="A291" s="36"/>
      <c r="B291" s="11"/>
      <c r="C291" s="36"/>
    </row>
    <row r="292" spans="1:3" ht="14.25" customHeight="1" x14ac:dyDescent="0.35">
      <c r="A292" s="36"/>
      <c r="B292" s="11"/>
      <c r="C292" s="36"/>
    </row>
    <row r="293" spans="1:3" ht="14.25" customHeight="1" x14ac:dyDescent="0.35">
      <c r="A293" s="36"/>
      <c r="B293" s="11"/>
      <c r="C293" s="36"/>
    </row>
    <row r="294" spans="1:3" ht="14.25" customHeight="1" x14ac:dyDescent="0.35">
      <c r="A294" s="36"/>
      <c r="B294" s="11"/>
      <c r="C294" s="36"/>
    </row>
    <row r="295" spans="1:3" ht="14.25" customHeight="1" x14ac:dyDescent="0.35">
      <c r="A295" s="36"/>
      <c r="B295" s="11"/>
      <c r="C295" s="36"/>
    </row>
    <row r="296" spans="1:3" ht="14.25" customHeight="1" x14ac:dyDescent="0.35">
      <c r="A296" s="36"/>
      <c r="B296" s="11"/>
      <c r="C296" s="36"/>
    </row>
    <row r="297" spans="1:3" ht="14.25" customHeight="1" x14ac:dyDescent="0.35">
      <c r="A297" s="36"/>
      <c r="B297" s="11"/>
      <c r="C297" s="36"/>
    </row>
    <row r="298" spans="1:3" ht="14.25" customHeight="1" x14ac:dyDescent="0.35">
      <c r="A298" s="36"/>
      <c r="B298" s="11"/>
      <c r="C298" s="36"/>
    </row>
    <row r="299" spans="1:3" ht="14.25" customHeight="1" x14ac:dyDescent="0.35">
      <c r="A299" s="36"/>
      <c r="B299" s="11"/>
      <c r="C299" s="36"/>
    </row>
    <row r="300" spans="1:3" ht="14.25" customHeight="1" x14ac:dyDescent="0.35">
      <c r="A300" s="36"/>
      <c r="B300" s="11"/>
      <c r="C300" s="36"/>
    </row>
    <row r="301" spans="1:3" ht="14.25" customHeight="1" x14ac:dyDescent="0.35">
      <c r="A301" s="36"/>
      <c r="B301" s="11"/>
      <c r="C301" s="36"/>
    </row>
    <row r="302" spans="1:3" ht="14.25" customHeight="1" x14ac:dyDescent="0.35">
      <c r="A302" s="36"/>
      <c r="B302" s="11"/>
      <c r="C302" s="36"/>
    </row>
    <row r="303" spans="1:3" ht="14.25" customHeight="1" x14ac:dyDescent="0.35">
      <c r="A303" s="36"/>
      <c r="B303" s="11"/>
      <c r="C303" s="36"/>
    </row>
    <row r="304" spans="1:3" ht="14.25" customHeight="1" x14ac:dyDescent="0.35">
      <c r="A304" s="36"/>
      <c r="B304" s="11"/>
      <c r="C304" s="36"/>
    </row>
    <row r="305" spans="1:3" ht="14.25" customHeight="1" x14ac:dyDescent="0.35">
      <c r="A305" s="36"/>
      <c r="B305" s="11"/>
      <c r="C305" s="36"/>
    </row>
    <row r="306" spans="1:3" ht="14.25" customHeight="1" x14ac:dyDescent="0.35">
      <c r="A306" s="36"/>
      <c r="B306" s="11"/>
      <c r="C306" s="36"/>
    </row>
    <row r="307" spans="1:3" ht="14.25" customHeight="1" x14ac:dyDescent="0.35">
      <c r="A307" s="36"/>
      <c r="B307" s="11"/>
      <c r="C307" s="36"/>
    </row>
    <row r="308" spans="1:3" ht="14.25" customHeight="1" x14ac:dyDescent="0.35">
      <c r="A308" s="36"/>
      <c r="B308" s="11"/>
      <c r="C308" s="36"/>
    </row>
    <row r="309" spans="1:3" ht="14.25" customHeight="1" x14ac:dyDescent="0.35">
      <c r="A309" s="36"/>
      <c r="B309" s="11"/>
      <c r="C309" s="36"/>
    </row>
    <row r="310" spans="1:3" ht="14.25" customHeight="1" x14ac:dyDescent="0.35">
      <c r="A310" s="36"/>
      <c r="B310" s="11"/>
      <c r="C310" s="36"/>
    </row>
    <row r="311" spans="1:3" ht="14.25" customHeight="1" x14ac:dyDescent="0.35">
      <c r="A311" s="36"/>
      <c r="B311" s="11"/>
      <c r="C311" s="36"/>
    </row>
    <row r="312" spans="1:3" ht="14.25" customHeight="1" x14ac:dyDescent="0.35">
      <c r="A312" s="36"/>
      <c r="B312" s="11"/>
      <c r="C312" s="36"/>
    </row>
    <row r="313" spans="1:3" ht="14.25" customHeight="1" x14ac:dyDescent="0.35">
      <c r="A313" s="36"/>
      <c r="B313" s="11"/>
      <c r="C313" s="36"/>
    </row>
    <row r="314" spans="1:3" ht="14.25" customHeight="1" x14ac:dyDescent="0.35">
      <c r="A314" s="36"/>
      <c r="B314" s="11"/>
      <c r="C314" s="36"/>
    </row>
    <row r="315" spans="1:3" ht="14.25" customHeight="1" x14ac:dyDescent="0.35">
      <c r="A315" s="36"/>
      <c r="B315" s="11"/>
      <c r="C315" s="36"/>
    </row>
    <row r="316" spans="1:3" ht="14.25" customHeight="1" x14ac:dyDescent="0.35">
      <c r="A316" s="36"/>
      <c r="B316" s="11"/>
      <c r="C316" s="36"/>
    </row>
    <row r="317" spans="1:3" ht="14.25" customHeight="1" x14ac:dyDescent="0.35">
      <c r="A317" s="36"/>
      <c r="B317" s="11"/>
      <c r="C317" s="36"/>
    </row>
    <row r="318" spans="1:3" ht="14.25" customHeight="1" x14ac:dyDescent="0.35">
      <c r="A318" s="36"/>
      <c r="B318" s="11"/>
      <c r="C318" s="36"/>
    </row>
    <row r="319" spans="1:3" ht="14.25" customHeight="1" x14ac:dyDescent="0.35">
      <c r="A319" s="36"/>
      <c r="B319" s="11"/>
      <c r="C319" s="36"/>
    </row>
    <row r="320" spans="1:3" ht="14.25" customHeight="1" x14ac:dyDescent="0.35">
      <c r="A320" s="36"/>
      <c r="B320" s="11"/>
      <c r="C320" s="36"/>
    </row>
    <row r="321" spans="1:3" ht="14.25" customHeight="1" x14ac:dyDescent="0.35">
      <c r="A321" s="36"/>
      <c r="B321" s="11"/>
      <c r="C321" s="36"/>
    </row>
    <row r="322" spans="1:3" ht="14.25" customHeight="1" x14ac:dyDescent="0.35">
      <c r="A322" s="36"/>
      <c r="B322" s="11"/>
      <c r="C322" s="36"/>
    </row>
    <row r="323" spans="1:3" ht="14.25" customHeight="1" x14ac:dyDescent="0.35">
      <c r="A323" s="36"/>
      <c r="B323" s="11"/>
      <c r="C323" s="36"/>
    </row>
    <row r="324" spans="1:3" ht="14.25" customHeight="1" x14ac:dyDescent="0.35">
      <c r="A324" s="36"/>
      <c r="B324" s="11"/>
      <c r="C324" s="36"/>
    </row>
    <row r="325" spans="1:3" ht="14.25" customHeight="1" x14ac:dyDescent="0.35">
      <c r="A325" s="36"/>
      <c r="B325" s="11"/>
      <c r="C325" s="36"/>
    </row>
    <row r="326" spans="1:3" ht="14.25" customHeight="1" x14ac:dyDescent="0.35">
      <c r="A326" s="36"/>
      <c r="B326" s="11"/>
      <c r="C326" s="36"/>
    </row>
    <row r="327" spans="1:3" ht="14.25" customHeight="1" x14ac:dyDescent="0.35">
      <c r="A327" s="36"/>
      <c r="B327" s="11"/>
      <c r="C327" s="36"/>
    </row>
    <row r="328" spans="1:3" ht="14.25" customHeight="1" x14ac:dyDescent="0.35">
      <c r="A328" s="36"/>
      <c r="B328" s="11"/>
      <c r="C328" s="36"/>
    </row>
    <row r="329" spans="1:3" ht="14.25" customHeight="1" x14ac:dyDescent="0.35">
      <c r="A329" s="36"/>
      <c r="B329" s="11"/>
      <c r="C329" s="36"/>
    </row>
    <row r="330" spans="1:3" ht="14.25" customHeight="1" x14ac:dyDescent="0.35">
      <c r="A330" s="36"/>
      <c r="B330" s="11"/>
      <c r="C330" s="36"/>
    </row>
    <row r="331" spans="1:3" ht="14.25" customHeight="1" x14ac:dyDescent="0.35">
      <c r="A331" s="36"/>
      <c r="B331" s="11"/>
      <c r="C331" s="36"/>
    </row>
    <row r="332" spans="1:3" ht="14.25" customHeight="1" x14ac:dyDescent="0.35">
      <c r="A332" s="36"/>
      <c r="B332" s="11"/>
      <c r="C332" s="36"/>
    </row>
    <row r="333" spans="1:3" ht="14.25" customHeight="1" x14ac:dyDescent="0.35">
      <c r="A333" s="36"/>
      <c r="B333" s="11"/>
      <c r="C333" s="36"/>
    </row>
    <row r="334" spans="1:3" ht="14.25" customHeight="1" x14ac:dyDescent="0.35">
      <c r="A334" s="36"/>
      <c r="B334" s="11"/>
      <c r="C334" s="36"/>
    </row>
    <row r="335" spans="1:3" ht="14.25" customHeight="1" x14ac:dyDescent="0.35">
      <c r="A335" s="36"/>
      <c r="B335" s="11"/>
      <c r="C335" s="36"/>
    </row>
    <row r="336" spans="1:3" ht="14.25" customHeight="1" x14ac:dyDescent="0.35">
      <c r="A336" s="36"/>
      <c r="B336" s="11"/>
      <c r="C336" s="36"/>
    </row>
    <row r="337" spans="1:3" ht="14.25" customHeight="1" x14ac:dyDescent="0.35">
      <c r="A337" s="36"/>
      <c r="B337" s="11"/>
      <c r="C337" s="36"/>
    </row>
    <row r="338" spans="1:3" ht="14.25" customHeight="1" x14ac:dyDescent="0.35">
      <c r="A338" s="36"/>
      <c r="B338" s="11"/>
      <c r="C338" s="36"/>
    </row>
    <row r="339" spans="1:3" ht="14.25" customHeight="1" x14ac:dyDescent="0.35">
      <c r="A339" s="36"/>
      <c r="B339" s="11"/>
      <c r="C339" s="36"/>
    </row>
    <row r="340" spans="1:3" ht="14.25" customHeight="1" x14ac:dyDescent="0.35">
      <c r="A340" s="36"/>
      <c r="B340" s="11"/>
      <c r="C340" s="36"/>
    </row>
    <row r="341" spans="1:3" ht="14.25" customHeight="1" x14ac:dyDescent="0.35">
      <c r="A341" s="36"/>
      <c r="B341" s="11"/>
      <c r="C341" s="36"/>
    </row>
    <row r="342" spans="1:3" ht="14.25" customHeight="1" x14ac:dyDescent="0.35">
      <c r="A342" s="36"/>
      <c r="B342" s="11"/>
      <c r="C342" s="36"/>
    </row>
    <row r="343" spans="1:3" ht="14.25" customHeight="1" x14ac:dyDescent="0.35">
      <c r="A343" s="36"/>
      <c r="B343" s="11"/>
      <c r="C343" s="36"/>
    </row>
    <row r="344" spans="1:3" ht="14.25" customHeight="1" x14ac:dyDescent="0.35">
      <c r="A344" s="36"/>
      <c r="B344" s="11"/>
      <c r="C344" s="36"/>
    </row>
    <row r="345" spans="1:3" ht="14.25" customHeight="1" x14ac:dyDescent="0.35">
      <c r="A345" s="36"/>
      <c r="B345" s="11"/>
      <c r="C345" s="36"/>
    </row>
    <row r="346" spans="1:3" ht="14.25" customHeight="1" x14ac:dyDescent="0.35">
      <c r="A346" s="36"/>
      <c r="B346" s="11"/>
      <c r="C346" s="36"/>
    </row>
    <row r="347" spans="1:3" ht="14.25" customHeight="1" x14ac:dyDescent="0.35">
      <c r="A347" s="36"/>
      <c r="B347" s="11"/>
      <c r="C347" s="36"/>
    </row>
    <row r="348" spans="1:3" ht="14.25" customHeight="1" x14ac:dyDescent="0.35">
      <c r="A348" s="36"/>
      <c r="B348" s="11"/>
      <c r="C348" s="36"/>
    </row>
    <row r="349" spans="1:3" ht="14.25" customHeight="1" x14ac:dyDescent="0.35">
      <c r="A349" s="36"/>
      <c r="B349" s="11"/>
      <c r="C349" s="36"/>
    </row>
    <row r="350" spans="1:3" ht="14.25" customHeight="1" x14ac:dyDescent="0.35">
      <c r="A350" s="36"/>
      <c r="B350" s="11"/>
      <c r="C350" s="36"/>
    </row>
    <row r="351" spans="1:3" ht="14.25" customHeight="1" x14ac:dyDescent="0.35">
      <c r="A351" s="36"/>
      <c r="B351" s="11"/>
      <c r="C351" s="36"/>
    </row>
    <row r="352" spans="1:3" ht="14.25" customHeight="1" x14ac:dyDescent="0.35">
      <c r="A352" s="36"/>
      <c r="B352" s="11"/>
      <c r="C352" s="36"/>
    </row>
    <row r="353" spans="1:3" ht="14.25" customHeight="1" x14ac:dyDescent="0.35">
      <c r="A353" s="36"/>
      <c r="B353" s="11"/>
      <c r="C353" s="36"/>
    </row>
    <row r="354" spans="1:3" ht="14.25" customHeight="1" x14ac:dyDescent="0.35">
      <c r="A354" s="36"/>
      <c r="B354" s="11"/>
      <c r="C354" s="36"/>
    </row>
    <row r="355" spans="1:3" ht="14.25" customHeight="1" x14ac:dyDescent="0.35">
      <c r="A355" s="36"/>
      <c r="B355" s="11"/>
      <c r="C355" s="36"/>
    </row>
    <row r="356" spans="1:3" ht="14.25" customHeight="1" x14ac:dyDescent="0.35">
      <c r="A356" s="36"/>
      <c r="B356" s="11"/>
      <c r="C356" s="36"/>
    </row>
    <row r="357" spans="1:3" ht="14.25" customHeight="1" x14ac:dyDescent="0.35">
      <c r="A357" s="36"/>
      <c r="B357" s="11"/>
      <c r="C357" s="36"/>
    </row>
    <row r="358" spans="1:3" ht="14.25" customHeight="1" x14ac:dyDescent="0.35">
      <c r="A358" s="36"/>
      <c r="B358" s="11"/>
      <c r="C358" s="36"/>
    </row>
    <row r="359" spans="1:3" ht="14.25" customHeight="1" x14ac:dyDescent="0.35">
      <c r="A359" s="36"/>
      <c r="B359" s="11"/>
      <c r="C359" s="36"/>
    </row>
    <row r="360" spans="1:3" ht="14.25" customHeight="1" x14ac:dyDescent="0.35">
      <c r="A360" s="36"/>
      <c r="B360" s="11"/>
      <c r="C360" s="36"/>
    </row>
    <row r="361" spans="1:3" ht="14.25" customHeight="1" x14ac:dyDescent="0.35">
      <c r="A361" s="36"/>
      <c r="B361" s="11"/>
      <c r="C361" s="36"/>
    </row>
    <row r="362" spans="1:3" ht="14.25" customHeight="1" x14ac:dyDescent="0.35">
      <c r="A362" s="36"/>
      <c r="B362" s="11"/>
      <c r="C362" s="36"/>
    </row>
    <row r="363" spans="1:3" ht="14.25" customHeight="1" x14ac:dyDescent="0.35">
      <c r="A363" s="36"/>
      <c r="B363" s="11"/>
      <c r="C363" s="36"/>
    </row>
    <row r="364" spans="1:3" ht="14.25" customHeight="1" x14ac:dyDescent="0.35">
      <c r="A364" s="36"/>
      <c r="B364" s="11"/>
      <c r="C364" s="36"/>
    </row>
    <row r="365" spans="1:3" ht="14.25" customHeight="1" x14ac:dyDescent="0.35">
      <c r="A365" s="36"/>
      <c r="B365" s="11"/>
      <c r="C365" s="36"/>
    </row>
    <row r="366" spans="1:3" ht="14.25" customHeight="1" x14ac:dyDescent="0.35">
      <c r="A366" s="36"/>
      <c r="B366" s="11"/>
      <c r="C366" s="36"/>
    </row>
    <row r="367" spans="1:3" ht="14.25" customHeight="1" x14ac:dyDescent="0.35">
      <c r="A367" s="36"/>
      <c r="B367" s="11"/>
      <c r="C367" s="36"/>
    </row>
    <row r="368" spans="1:3" ht="14.25" customHeight="1" x14ac:dyDescent="0.35">
      <c r="A368" s="36"/>
      <c r="B368" s="11"/>
      <c r="C368" s="36"/>
    </row>
    <row r="369" spans="1:3" ht="14.25" customHeight="1" x14ac:dyDescent="0.35">
      <c r="A369" s="36"/>
      <c r="B369" s="11"/>
      <c r="C369" s="36"/>
    </row>
    <row r="370" spans="1:3" ht="14.25" customHeight="1" x14ac:dyDescent="0.35">
      <c r="A370" s="36"/>
      <c r="B370" s="11"/>
      <c r="C370" s="36"/>
    </row>
    <row r="371" spans="1:3" ht="14.25" customHeight="1" x14ac:dyDescent="0.35">
      <c r="A371" s="36"/>
      <c r="B371" s="11"/>
      <c r="C371" s="36"/>
    </row>
    <row r="372" spans="1:3" ht="14.25" customHeight="1" x14ac:dyDescent="0.35">
      <c r="A372" s="36"/>
      <c r="B372" s="11"/>
      <c r="C372" s="36"/>
    </row>
    <row r="373" spans="1:3" ht="14.25" customHeight="1" x14ac:dyDescent="0.35">
      <c r="A373" s="36"/>
      <c r="B373" s="11"/>
      <c r="C373" s="36"/>
    </row>
    <row r="374" spans="1:3" ht="14.25" customHeight="1" x14ac:dyDescent="0.35">
      <c r="A374" s="36"/>
      <c r="B374" s="11"/>
      <c r="C374" s="36"/>
    </row>
    <row r="375" spans="1:3" ht="14.25" customHeight="1" x14ac:dyDescent="0.35">
      <c r="A375" s="36"/>
      <c r="B375" s="11"/>
      <c r="C375" s="36"/>
    </row>
    <row r="376" spans="1:3" ht="14.25" customHeight="1" x14ac:dyDescent="0.35">
      <c r="A376" s="36"/>
      <c r="B376" s="11"/>
      <c r="C376" s="36"/>
    </row>
    <row r="377" spans="1:3" ht="14.25" customHeight="1" x14ac:dyDescent="0.35">
      <c r="A377" s="36"/>
      <c r="B377" s="11"/>
      <c r="C377" s="36"/>
    </row>
    <row r="378" spans="1:3" ht="14.25" customHeight="1" x14ac:dyDescent="0.35">
      <c r="A378" s="36"/>
      <c r="B378" s="11"/>
      <c r="C378" s="36"/>
    </row>
    <row r="379" spans="1:3" ht="14.25" customHeight="1" x14ac:dyDescent="0.35">
      <c r="A379" s="36"/>
      <c r="B379" s="11"/>
      <c r="C379" s="36"/>
    </row>
    <row r="380" spans="1:3" ht="14.25" customHeight="1" x14ac:dyDescent="0.35">
      <c r="A380" s="36"/>
      <c r="B380" s="11"/>
      <c r="C380" s="36"/>
    </row>
    <row r="381" spans="1:3" ht="14.25" customHeight="1" x14ac:dyDescent="0.35">
      <c r="A381" s="36"/>
      <c r="B381" s="11"/>
      <c r="C381" s="36"/>
    </row>
    <row r="382" spans="1:3" ht="14.25" customHeight="1" x14ac:dyDescent="0.35">
      <c r="A382" s="36"/>
      <c r="B382" s="11"/>
      <c r="C382" s="36"/>
    </row>
    <row r="383" spans="1:3" ht="14.25" customHeight="1" x14ac:dyDescent="0.35">
      <c r="A383" s="36"/>
      <c r="B383" s="11"/>
      <c r="C383" s="36"/>
    </row>
    <row r="384" spans="1:3" ht="14.25" customHeight="1" x14ac:dyDescent="0.35">
      <c r="A384" s="36"/>
      <c r="B384" s="11"/>
      <c r="C384" s="36"/>
    </row>
    <row r="385" spans="1:3" ht="14.25" customHeight="1" x14ac:dyDescent="0.35">
      <c r="A385" s="36"/>
      <c r="B385" s="11"/>
      <c r="C385" s="36"/>
    </row>
    <row r="386" spans="1:3" ht="14.25" customHeight="1" x14ac:dyDescent="0.35">
      <c r="A386" s="36"/>
      <c r="B386" s="11"/>
      <c r="C386" s="36"/>
    </row>
    <row r="387" spans="1:3" ht="14.25" customHeight="1" x14ac:dyDescent="0.35">
      <c r="A387" s="36"/>
      <c r="B387" s="11"/>
      <c r="C387" s="36"/>
    </row>
    <row r="388" spans="1:3" ht="14.25" customHeight="1" x14ac:dyDescent="0.35">
      <c r="A388" s="36"/>
      <c r="B388" s="11"/>
      <c r="C388" s="36"/>
    </row>
    <row r="389" spans="1:3" ht="14.25" customHeight="1" x14ac:dyDescent="0.35">
      <c r="A389" s="36"/>
      <c r="B389" s="11"/>
      <c r="C389" s="36"/>
    </row>
    <row r="390" spans="1:3" ht="14.25" customHeight="1" x14ac:dyDescent="0.35">
      <c r="A390" s="36"/>
      <c r="B390" s="11"/>
      <c r="C390" s="36"/>
    </row>
    <row r="391" spans="1:3" ht="14.25" customHeight="1" x14ac:dyDescent="0.35">
      <c r="A391" s="36"/>
      <c r="B391" s="11"/>
      <c r="C391" s="36"/>
    </row>
    <row r="392" spans="1:3" ht="14.25" customHeight="1" x14ac:dyDescent="0.35">
      <c r="A392" s="36"/>
      <c r="B392" s="11"/>
      <c r="C392" s="36"/>
    </row>
    <row r="393" spans="1:3" ht="14.25" customHeight="1" x14ac:dyDescent="0.35">
      <c r="A393" s="36"/>
      <c r="B393" s="11"/>
      <c r="C393" s="36"/>
    </row>
    <row r="394" spans="1:3" ht="14.25" customHeight="1" x14ac:dyDescent="0.35">
      <c r="A394" s="36"/>
      <c r="B394" s="11"/>
      <c r="C394" s="36"/>
    </row>
    <row r="395" spans="1:3" ht="14.25" customHeight="1" x14ac:dyDescent="0.35">
      <c r="A395" s="36"/>
      <c r="B395" s="11"/>
      <c r="C395" s="36"/>
    </row>
    <row r="396" spans="1:3" ht="14.25" customHeight="1" x14ac:dyDescent="0.35">
      <c r="A396" s="36"/>
      <c r="B396" s="11"/>
      <c r="C396" s="36"/>
    </row>
    <row r="397" spans="1:3" ht="14.25" customHeight="1" x14ac:dyDescent="0.35">
      <c r="A397" s="36"/>
      <c r="B397" s="11"/>
      <c r="C397" s="36"/>
    </row>
    <row r="398" spans="1:3" ht="14.25" customHeight="1" x14ac:dyDescent="0.35">
      <c r="A398" s="36"/>
      <c r="B398" s="11"/>
      <c r="C398" s="36"/>
    </row>
    <row r="399" spans="1:3" ht="14.25" customHeight="1" x14ac:dyDescent="0.35">
      <c r="A399" s="36"/>
      <c r="B399" s="11"/>
      <c r="C399" s="36"/>
    </row>
    <row r="400" spans="1:3" ht="14.25" customHeight="1" x14ac:dyDescent="0.35">
      <c r="A400" s="36"/>
      <c r="B400" s="11"/>
      <c r="C400" s="36"/>
    </row>
    <row r="401" spans="1:3" ht="14.25" customHeight="1" x14ac:dyDescent="0.35">
      <c r="A401" s="36"/>
      <c r="B401" s="11"/>
      <c r="C401" s="36"/>
    </row>
    <row r="402" spans="1:3" ht="14.25" customHeight="1" x14ac:dyDescent="0.35">
      <c r="A402" s="36"/>
      <c r="B402" s="11"/>
      <c r="C402" s="36"/>
    </row>
    <row r="403" spans="1:3" ht="14.25" customHeight="1" x14ac:dyDescent="0.35">
      <c r="A403" s="36"/>
      <c r="B403" s="11"/>
      <c r="C403" s="36"/>
    </row>
    <row r="404" spans="1:3" ht="14.25" customHeight="1" x14ac:dyDescent="0.35">
      <c r="A404" s="36"/>
      <c r="B404" s="11"/>
      <c r="C404" s="36"/>
    </row>
    <row r="405" spans="1:3" ht="14.25" customHeight="1" x14ac:dyDescent="0.35">
      <c r="A405" s="36"/>
      <c r="B405" s="11"/>
      <c r="C405" s="36"/>
    </row>
    <row r="406" spans="1:3" ht="14.25" customHeight="1" x14ac:dyDescent="0.35">
      <c r="A406" s="36"/>
      <c r="B406" s="11"/>
      <c r="C406" s="36"/>
    </row>
    <row r="407" spans="1:3" ht="14.25" customHeight="1" x14ac:dyDescent="0.35">
      <c r="A407" s="36"/>
      <c r="B407" s="11"/>
      <c r="C407" s="36"/>
    </row>
    <row r="408" spans="1:3" ht="14.25" customHeight="1" x14ac:dyDescent="0.35">
      <c r="A408" s="36"/>
      <c r="B408" s="11"/>
      <c r="C408" s="36"/>
    </row>
    <row r="409" spans="1:3" ht="14.25" customHeight="1" x14ac:dyDescent="0.35">
      <c r="A409" s="36"/>
      <c r="B409" s="11"/>
      <c r="C409" s="36"/>
    </row>
    <row r="410" spans="1:3" ht="14.25" customHeight="1" x14ac:dyDescent="0.35">
      <c r="A410" s="36"/>
      <c r="B410" s="11"/>
      <c r="C410" s="36"/>
    </row>
    <row r="411" spans="1:3" ht="14.25" customHeight="1" x14ac:dyDescent="0.35">
      <c r="A411" s="36"/>
      <c r="B411" s="11"/>
      <c r="C411" s="36"/>
    </row>
    <row r="412" spans="1:3" ht="14.25" customHeight="1" x14ac:dyDescent="0.35">
      <c r="A412" s="36"/>
      <c r="B412" s="11"/>
      <c r="C412" s="36"/>
    </row>
    <row r="413" spans="1:3" ht="14.25" customHeight="1" x14ac:dyDescent="0.35">
      <c r="A413" s="36"/>
      <c r="B413" s="11"/>
      <c r="C413" s="36"/>
    </row>
    <row r="414" spans="1:3" ht="14.25" customHeight="1" x14ac:dyDescent="0.35">
      <c r="A414" s="36"/>
      <c r="B414" s="11"/>
      <c r="C414" s="36"/>
    </row>
    <row r="415" spans="1:3" ht="14.25" customHeight="1" x14ac:dyDescent="0.35">
      <c r="A415" s="36"/>
      <c r="B415" s="11"/>
      <c r="C415" s="36"/>
    </row>
    <row r="416" spans="1:3" ht="14.25" customHeight="1" x14ac:dyDescent="0.35">
      <c r="A416" s="36"/>
      <c r="B416" s="11"/>
      <c r="C416" s="36"/>
    </row>
    <row r="417" spans="1:3" ht="14.25" customHeight="1" x14ac:dyDescent="0.35">
      <c r="A417" s="36"/>
      <c r="B417" s="11"/>
      <c r="C417" s="36"/>
    </row>
    <row r="418" spans="1:3" ht="14.25" customHeight="1" x14ac:dyDescent="0.35">
      <c r="A418" s="36"/>
      <c r="B418" s="11"/>
      <c r="C418" s="36"/>
    </row>
    <row r="419" spans="1:3" ht="14.25" customHeight="1" x14ac:dyDescent="0.35">
      <c r="A419" s="36"/>
      <c r="B419" s="11"/>
      <c r="C419" s="36"/>
    </row>
    <row r="420" spans="1:3" ht="14.25" customHeight="1" x14ac:dyDescent="0.35">
      <c r="A420" s="36"/>
      <c r="B420" s="11"/>
      <c r="C420" s="36"/>
    </row>
    <row r="421" spans="1:3" ht="14.25" customHeight="1" x14ac:dyDescent="0.35">
      <c r="A421" s="36"/>
      <c r="B421" s="11"/>
      <c r="C421" s="36"/>
    </row>
    <row r="422" spans="1:3" ht="14.25" customHeight="1" x14ac:dyDescent="0.35">
      <c r="A422" s="36"/>
      <c r="B422" s="11"/>
      <c r="C422" s="36"/>
    </row>
    <row r="423" spans="1:3" ht="14.25" customHeight="1" x14ac:dyDescent="0.35">
      <c r="A423" s="36"/>
      <c r="B423" s="11"/>
      <c r="C423" s="36"/>
    </row>
    <row r="424" spans="1:3" ht="14.25" customHeight="1" x14ac:dyDescent="0.35">
      <c r="A424" s="36"/>
      <c r="B424" s="11"/>
      <c r="C424" s="36"/>
    </row>
    <row r="425" spans="1:3" ht="14.25" customHeight="1" x14ac:dyDescent="0.35">
      <c r="A425" s="36"/>
      <c r="B425" s="11"/>
      <c r="C425" s="36"/>
    </row>
    <row r="426" spans="1:3" ht="14.25" customHeight="1" x14ac:dyDescent="0.35">
      <c r="A426" s="36"/>
      <c r="B426" s="11"/>
      <c r="C426" s="36"/>
    </row>
    <row r="427" spans="1:3" ht="14.25" customHeight="1" x14ac:dyDescent="0.35">
      <c r="A427" s="36"/>
      <c r="B427" s="11"/>
      <c r="C427" s="36"/>
    </row>
    <row r="428" spans="1:3" ht="14.25" customHeight="1" x14ac:dyDescent="0.35">
      <c r="A428" s="36"/>
      <c r="B428" s="11"/>
      <c r="C428" s="36"/>
    </row>
    <row r="429" spans="1:3" ht="14.25" customHeight="1" x14ac:dyDescent="0.35">
      <c r="A429" s="36"/>
      <c r="B429" s="11"/>
      <c r="C429" s="36"/>
    </row>
    <row r="430" spans="1:3" ht="14.25" customHeight="1" x14ac:dyDescent="0.35">
      <c r="A430" s="36"/>
      <c r="B430" s="11"/>
      <c r="C430" s="36"/>
    </row>
    <row r="431" spans="1:3" ht="14.25" customHeight="1" x14ac:dyDescent="0.35">
      <c r="A431" s="36"/>
      <c r="B431" s="11"/>
      <c r="C431" s="36"/>
    </row>
    <row r="432" spans="1:3" ht="14.25" customHeight="1" x14ac:dyDescent="0.35">
      <c r="A432" s="36"/>
      <c r="B432" s="11"/>
      <c r="C432" s="36"/>
    </row>
    <row r="433" spans="1:3" ht="14.25" customHeight="1" x14ac:dyDescent="0.35">
      <c r="A433" s="36"/>
      <c r="B433" s="11"/>
      <c r="C433" s="36"/>
    </row>
    <row r="434" spans="1:3" ht="14.25" customHeight="1" x14ac:dyDescent="0.35">
      <c r="A434" s="36"/>
      <c r="B434" s="11"/>
      <c r="C434" s="36"/>
    </row>
    <row r="435" spans="1:3" ht="14.25" customHeight="1" x14ac:dyDescent="0.35">
      <c r="A435" s="36"/>
      <c r="B435" s="11"/>
      <c r="C435" s="36"/>
    </row>
    <row r="436" spans="1:3" ht="14.25" customHeight="1" x14ac:dyDescent="0.35">
      <c r="A436" s="36"/>
      <c r="B436" s="11"/>
      <c r="C436" s="36"/>
    </row>
    <row r="437" spans="1:3" ht="14.25" customHeight="1" x14ac:dyDescent="0.35">
      <c r="A437" s="36"/>
      <c r="B437" s="11"/>
      <c r="C437" s="36"/>
    </row>
    <row r="438" spans="1:3" ht="14.25" customHeight="1" x14ac:dyDescent="0.35">
      <c r="A438" s="36"/>
      <c r="B438" s="11"/>
      <c r="C438" s="36"/>
    </row>
    <row r="439" spans="1:3" ht="14.25" customHeight="1" x14ac:dyDescent="0.35">
      <c r="A439" s="36"/>
      <c r="B439" s="11"/>
      <c r="C439" s="36"/>
    </row>
    <row r="440" spans="1:3" ht="14.25" customHeight="1" x14ac:dyDescent="0.35">
      <c r="A440" s="36"/>
      <c r="B440" s="11"/>
      <c r="C440" s="36"/>
    </row>
    <row r="441" spans="1:3" ht="14.25" customHeight="1" x14ac:dyDescent="0.35">
      <c r="A441" s="36"/>
      <c r="B441" s="11"/>
      <c r="C441" s="36"/>
    </row>
    <row r="442" spans="1:3" ht="14.25" customHeight="1" x14ac:dyDescent="0.35">
      <c r="A442" s="36"/>
      <c r="B442" s="11"/>
      <c r="C442" s="36"/>
    </row>
    <row r="443" spans="1:3" ht="14.25" customHeight="1" x14ac:dyDescent="0.35">
      <c r="A443" s="36"/>
      <c r="B443" s="11"/>
      <c r="C443" s="36"/>
    </row>
    <row r="444" spans="1:3" ht="14.25" customHeight="1" x14ac:dyDescent="0.35">
      <c r="A444" s="36"/>
      <c r="B444" s="11"/>
      <c r="C444" s="36"/>
    </row>
    <row r="445" spans="1:3" ht="14.25" customHeight="1" x14ac:dyDescent="0.35">
      <c r="A445" s="36"/>
      <c r="B445" s="11"/>
      <c r="C445" s="36"/>
    </row>
    <row r="446" spans="1:3" ht="14.25" customHeight="1" x14ac:dyDescent="0.35">
      <c r="A446" s="36"/>
      <c r="B446" s="11"/>
      <c r="C446" s="36"/>
    </row>
    <row r="447" spans="1:3" ht="14.25" customHeight="1" x14ac:dyDescent="0.35">
      <c r="A447" s="36"/>
      <c r="B447" s="11"/>
      <c r="C447" s="36"/>
    </row>
    <row r="448" spans="1:3" ht="14.25" customHeight="1" x14ac:dyDescent="0.35">
      <c r="A448" s="36"/>
      <c r="B448" s="11"/>
      <c r="C448" s="36"/>
    </row>
    <row r="449" spans="1:3" ht="14.25" customHeight="1" x14ac:dyDescent="0.35">
      <c r="A449" s="36"/>
      <c r="B449" s="11"/>
      <c r="C449" s="36"/>
    </row>
    <row r="450" spans="1:3" ht="14.25" customHeight="1" x14ac:dyDescent="0.35">
      <c r="A450" s="36"/>
      <c r="B450" s="11"/>
      <c r="C450" s="36"/>
    </row>
    <row r="451" spans="1:3" ht="14.25" customHeight="1" x14ac:dyDescent="0.35">
      <c r="A451" s="36"/>
      <c r="B451" s="11"/>
      <c r="C451" s="36"/>
    </row>
    <row r="452" spans="1:3" ht="14.25" customHeight="1" x14ac:dyDescent="0.35">
      <c r="A452" s="36"/>
      <c r="B452" s="11"/>
      <c r="C452" s="36"/>
    </row>
    <row r="453" spans="1:3" ht="14.25" customHeight="1" x14ac:dyDescent="0.35">
      <c r="A453" s="36"/>
      <c r="B453" s="11"/>
      <c r="C453" s="36"/>
    </row>
    <row r="454" spans="1:3" ht="14.25" customHeight="1" x14ac:dyDescent="0.35">
      <c r="A454" s="36"/>
      <c r="B454" s="11"/>
      <c r="C454" s="36"/>
    </row>
    <row r="455" spans="1:3" ht="14.25" customHeight="1" x14ac:dyDescent="0.35">
      <c r="A455" s="36"/>
      <c r="B455" s="11"/>
      <c r="C455" s="36"/>
    </row>
    <row r="456" spans="1:3" ht="14.25" customHeight="1" x14ac:dyDescent="0.35">
      <c r="A456" s="36"/>
      <c r="B456" s="11"/>
      <c r="C456" s="36"/>
    </row>
    <row r="457" spans="1:3" ht="14.25" customHeight="1" x14ac:dyDescent="0.35">
      <c r="A457" s="36"/>
      <c r="B457" s="11"/>
      <c r="C457" s="36"/>
    </row>
    <row r="458" spans="1:3" ht="14.25" customHeight="1" x14ac:dyDescent="0.35">
      <c r="A458" s="36"/>
      <c r="B458" s="11"/>
      <c r="C458" s="36"/>
    </row>
    <row r="459" spans="1:3" ht="14.25" customHeight="1" x14ac:dyDescent="0.35">
      <c r="A459" s="36"/>
      <c r="B459" s="11"/>
      <c r="C459" s="36"/>
    </row>
    <row r="460" spans="1:3" ht="14.25" customHeight="1" x14ac:dyDescent="0.35">
      <c r="A460" s="36"/>
      <c r="B460" s="11"/>
      <c r="C460" s="36"/>
    </row>
    <row r="461" spans="1:3" ht="14.25" customHeight="1" x14ac:dyDescent="0.35">
      <c r="A461" s="36"/>
      <c r="B461" s="11"/>
      <c r="C461" s="36"/>
    </row>
    <row r="462" spans="1:3" ht="14.25" customHeight="1" x14ac:dyDescent="0.35">
      <c r="A462" s="36"/>
      <c r="B462" s="11"/>
      <c r="C462" s="36"/>
    </row>
    <row r="463" spans="1:3" ht="14.25" customHeight="1" x14ac:dyDescent="0.35">
      <c r="A463" s="36"/>
      <c r="B463" s="11"/>
      <c r="C463" s="36"/>
    </row>
    <row r="464" spans="1:3" ht="14.25" customHeight="1" x14ac:dyDescent="0.35">
      <c r="A464" s="36"/>
      <c r="B464" s="11"/>
      <c r="C464" s="36"/>
    </row>
    <row r="465" spans="1:3" ht="14.25" customHeight="1" x14ac:dyDescent="0.35">
      <c r="A465" s="36"/>
      <c r="B465" s="11"/>
      <c r="C465" s="36"/>
    </row>
    <row r="466" spans="1:3" ht="14.25" customHeight="1" x14ac:dyDescent="0.35">
      <c r="A466" s="36"/>
      <c r="B466" s="11"/>
      <c r="C466" s="36"/>
    </row>
    <row r="467" spans="1:3" ht="14.25" customHeight="1" x14ac:dyDescent="0.35">
      <c r="A467" s="36"/>
      <c r="B467" s="11"/>
      <c r="C467" s="36"/>
    </row>
    <row r="468" spans="1:3" ht="14.25" customHeight="1" x14ac:dyDescent="0.35">
      <c r="A468" s="36"/>
      <c r="B468" s="11"/>
      <c r="C468" s="36"/>
    </row>
    <row r="469" spans="1:3" ht="14.25" customHeight="1" x14ac:dyDescent="0.35">
      <c r="A469" s="36"/>
      <c r="B469" s="11"/>
      <c r="C469" s="36"/>
    </row>
    <row r="470" spans="1:3" ht="14.25" customHeight="1" x14ac:dyDescent="0.35">
      <c r="A470" s="36"/>
      <c r="B470" s="11"/>
      <c r="C470" s="36"/>
    </row>
    <row r="471" spans="1:3" ht="14.25" customHeight="1" x14ac:dyDescent="0.35">
      <c r="A471" s="36"/>
      <c r="B471" s="11"/>
      <c r="C471" s="36"/>
    </row>
    <row r="472" spans="1:3" ht="14.25" customHeight="1" x14ac:dyDescent="0.35">
      <c r="A472" s="36"/>
      <c r="B472" s="11"/>
      <c r="C472" s="36"/>
    </row>
    <row r="473" spans="1:3" ht="14.25" customHeight="1" x14ac:dyDescent="0.35">
      <c r="A473" s="36"/>
      <c r="B473" s="11"/>
      <c r="C473" s="36"/>
    </row>
    <row r="474" spans="1:3" ht="14.25" customHeight="1" x14ac:dyDescent="0.35">
      <c r="A474" s="36"/>
      <c r="B474" s="11"/>
      <c r="C474" s="36"/>
    </row>
    <row r="475" spans="1:3" ht="14.25" customHeight="1" x14ac:dyDescent="0.35">
      <c r="A475" s="36"/>
      <c r="B475" s="11"/>
      <c r="C475" s="36"/>
    </row>
    <row r="476" spans="1:3" ht="14.25" customHeight="1" x14ac:dyDescent="0.35">
      <c r="A476" s="36"/>
      <c r="B476" s="11"/>
      <c r="C476" s="36"/>
    </row>
    <row r="477" spans="1:3" ht="14.25" customHeight="1" x14ac:dyDescent="0.35">
      <c r="A477" s="36"/>
      <c r="B477" s="11"/>
      <c r="C477" s="36"/>
    </row>
    <row r="478" spans="1:3" ht="14.25" customHeight="1" x14ac:dyDescent="0.35">
      <c r="A478" s="36"/>
      <c r="B478" s="11"/>
      <c r="C478" s="36"/>
    </row>
    <row r="479" spans="1:3" ht="14.25" customHeight="1" x14ac:dyDescent="0.35">
      <c r="A479" s="36"/>
      <c r="B479" s="11"/>
      <c r="C479" s="36"/>
    </row>
    <row r="480" spans="1:3" ht="14.25" customHeight="1" x14ac:dyDescent="0.35">
      <c r="A480" s="36"/>
      <c r="B480" s="11"/>
      <c r="C480" s="36"/>
    </row>
    <row r="481" spans="1:3" ht="14.25" customHeight="1" x14ac:dyDescent="0.35">
      <c r="A481" s="36"/>
      <c r="B481" s="11"/>
      <c r="C481" s="36"/>
    </row>
    <row r="482" spans="1:3" ht="14.25" customHeight="1" x14ac:dyDescent="0.35">
      <c r="A482" s="36"/>
      <c r="B482" s="11"/>
      <c r="C482" s="36"/>
    </row>
    <row r="483" spans="1:3" ht="14.25" customHeight="1" x14ac:dyDescent="0.35">
      <c r="A483" s="36"/>
      <c r="B483" s="11"/>
      <c r="C483" s="36"/>
    </row>
    <row r="484" spans="1:3" ht="14.25" customHeight="1" x14ac:dyDescent="0.35">
      <c r="A484" s="36"/>
      <c r="B484" s="11"/>
      <c r="C484" s="36"/>
    </row>
    <row r="485" spans="1:3" ht="14.25" customHeight="1" x14ac:dyDescent="0.35">
      <c r="A485" s="36"/>
      <c r="B485" s="11"/>
      <c r="C485" s="36"/>
    </row>
    <row r="486" spans="1:3" ht="14.25" customHeight="1" x14ac:dyDescent="0.35">
      <c r="A486" s="36"/>
      <c r="B486" s="11"/>
      <c r="C486" s="36"/>
    </row>
    <row r="487" spans="1:3" ht="14.25" customHeight="1" x14ac:dyDescent="0.35">
      <c r="A487" s="36"/>
      <c r="B487" s="11"/>
      <c r="C487" s="36"/>
    </row>
    <row r="488" spans="1:3" ht="14.25" customHeight="1" x14ac:dyDescent="0.35">
      <c r="A488" s="36"/>
      <c r="B488" s="11"/>
      <c r="C488" s="36"/>
    </row>
    <row r="489" spans="1:3" ht="14.25" customHeight="1" x14ac:dyDescent="0.35">
      <c r="A489" s="36"/>
      <c r="B489" s="11"/>
      <c r="C489" s="36"/>
    </row>
    <row r="490" spans="1:3" ht="14.25" customHeight="1" x14ac:dyDescent="0.35">
      <c r="A490" s="36"/>
      <c r="B490" s="11"/>
      <c r="C490" s="36"/>
    </row>
    <row r="491" spans="1:3" ht="14.25" customHeight="1" x14ac:dyDescent="0.35">
      <c r="A491" s="36"/>
      <c r="B491" s="11"/>
      <c r="C491" s="36"/>
    </row>
    <row r="492" spans="1:3" ht="14.25" customHeight="1" x14ac:dyDescent="0.35">
      <c r="A492" s="36"/>
      <c r="B492" s="11"/>
      <c r="C492" s="36"/>
    </row>
    <row r="493" spans="1:3" ht="14.25" customHeight="1" x14ac:dyDescent="0.35">
      <c r="A493" s="36"/>
      <c r="B493" s="11"/>
      <c r="C493" s="36"/>
    </row>
    <row r="494" spans="1:3" ht="14.25" customHeight="1" x14ac:dyDescent="0.35">
      <c r="A494" s="36"/>
      <c r="B494" s="11"/>
      <c r="C494" s="36"/>
    </row>
    <row r="495" spans="1:3" ht="14.25" customHeight="1" x14ac:dyDescent="0.35">
      <c r="A495" s="36"/>
      <c r="B495" s="11"/>
      <c r="C495" s="36"/>
    </row>
    <row r="496" spans="1:3" ht="14.25" customHeight="1" x14ac:dyDescent="0.35">
      <c r="A496" s="36"/>
      <c r="B496" s="11"/>
      <c r="C496" s="36"/>
    </row>
    <row r="497" spans="1:3" ht="14.25" customHeight="1" x14ac:dyDescent="0.35">
      <c r="A497" s="36"/>
      <c r="B497" s="11"/>
      <c r="C497" s="36"/>
    </row>
    <row r="498" spans="1:3" ht="14.25" customHeight="1" x14ac:dyDescent="0.35">
      <c r="A498" s="36"/>
      <c r="B498" s="11"/>
      <c r="C498" s="36"/>
    </row>
    <row r="499" spans="1:3" ht="14.25" customHeight="1" x14ac:dyDescent="0.35">
      <c r="A499" s="36"/>
      <c r="B499" s="11"/>
      <c r="C499" s="36"/>
    </row>
    <row r="500" spans="1:3" ht="14.25" customHeight="1" x14ac:dyDescent="0.35">
      <c r="A500" s="36"/>
      <c r="B500" s="11"/>
      <c r="C500" s="36"/>
    </row>
    <row r="501" spans="1:3" ht="14.25" customHeight="1" x14ac:dyDescent="0.35">
      <c r="A501" s="36"/>
      <c r="B501" s="11"/>
      <c r="C501" s="36"/>
    </row>
    <row r="502" spans="1:3" ht="14.25" customHeight="1" x14ac:dyDescent="0.35">
      <c r="A502" s="36"/>
      <c r="B502" s="11"/>
      <c r="C502" s="36"/>
    </row>
    <row r="503" spans="1:3" ht="14.25" customHeight="1" x14ac:dyDescent="0.35">
      <c r="A503" s="36"/>
      <c r="B503" s="11"/>
      <c r="C503" s="36"/>
    </row>
    <row r="504" spans="1:3" ht="14.25" customHeight="1" x14ac:dyDescent="0.35">
      <c r="A504" s="36"/>
      <c r="B504" s="11"/>
      <c r="C504" s="36"/>
    </row>
    <row r="505" spans="1:3" ht="14.25" customHeight="1" x14ac:dyDescent="0.35">
      <c r="A505" s="36"/>
      <c r="B505" s="11"/>
      <c r="C505" s="36"/>
    </row>
    <row r="506" spans="1:3" ht="14.25" customHeight="1" x14ac:dyDescent="0.35">
      <c r="A506" s="36"/>
      <c r="B506" s="11"/>
      <c r="C506" s="36"/>
    </row>
    <row r="507" spans="1:3" ht="14.25" customHeight="1" x14ac:dyDescent="0.35">
      <c r="A507" s="36"/>
      <c r="B507" s="11"/>
      <c r="C507" s="36"/>
    </row>
    <row r="508" spans="1:3" ht="14.25" customHeight="1" x14ac:dyDescent="0.35">
      <c r="A508" s="36"/>
      <c r="B508" s="11"/>
      <c r="C508" s="36"/>
    </row>
    <row r="509" spans="1:3" ht="14.25" customHeight="1" x14ac:dyDescent="0.35">
      <c r="A509" s="36"/>
      <c r="B509" s="11"/>
      <c r="C509" s="36"/>
    </row>
    <row r="510" spans="1:3" ht="14.25" customHeight="1" x14ac:dyDescent="0.35">
      <c r="A510" s="36"/>
      <c r="B510" s="11"/>
      <c r="C510" s="36"/>
    </row>
    <row r="511" spans="1:3" ht="14.25" customHeight="1" x14ac:dyDescent="0.35">
      <c r="A511" s="36"/>
      <c r="B511" s="11"/>
      <c r="C511" s="36"/>
    </row>
    <row r="512" spans="1:3" ht="14.25" customHeight="1" x14ac:dyDescent="0.35">
      <c r="A512" s="36"/>
      <c r="B512" s="11"/>
      <c r="C512" s="36"/>
    </row>
    <row r="513" spans="1:3" ht="14.25" customHeight="1" x14ac:dyDescent="0.35">
      <c r="A513" s="36"/>
      <c r="B513" s="11"/>
      <c r="C513" s="36"/>
    </row>
    <row r="514" spans="1:3" ht="14.25" customHeight="1" x14ac:dyDescent="0.35">
      <c r="A514" s="36"/>
      <c r="B514" s="11"/>
      <c r="C514" s="36"/>
    </row>
    <row r="515" spans="1:3" ht="14.25" customHeight="1" x14ac:dyDescent="0.35">
      <c r="A515" s="36"/>
      <c r="B515" s="11"/>
      <c r="C515" s="36"/>
    </row>
    <row r="516" spans="1:3" ht="14.25" customHeight="1" x14ac:dyDescent="0.35">
      <c r="A516" s="36"/>
      <c r="B516" s="11"/>
      <c r="C516" s="36"/>
    </row>
    <row r="517" spans="1:3" ht="14.25" customHeight="1" x14ac:dyDescent="0.35">
      <c r="A517" s="36"/>
      <c r="B517" s="11"/>
      <c r="C517" s="36"/>
    </row>
    <row r="518" spans="1:3" ht="14.25" customHeight="1" x14ac:dyDescent="0.35">
      <c r="A518" s="36"/>
      <c r="B518" s="11"/>
      <c r="C518" s="36"/>
    </row>
    <row r="519" spans="1:3" ht="14.25" customHeight="1" x14ac:dyDescent="0.35">
      <c r="A519" s="36"/>
      <c r="B519" s="11"/>
      <c r="C519" s="36"/>
    </row>
    <row r="520" spans="1:3" ht="14.25" customHeight="1" x14ac:dyDescent="0.35">
      <c r="A520" s="36"/>
      <c r="B520" s="11"/>
      <c r="C520" s="36"/>
    </row>
    <row r="521" spans="1:3" ht="14.25" customHeight="1" x14ac:dyDescent="0.35">
      <c r="A521" s="36"/>
      <c r="B521" s="11"/>
      <c r="C521" s="36"/>
    </row>
    <row r="522" spans="1:3" ht="14.25" customHeight="1" x14ac:dyDescent="0.35">
      <c r="A522" s="36"/>
      <c r="B522" s="11"/>
      <c r="C522" s="36"/>
    </row>
    <row r="523" spans="1:3" ht="14.25" customHeight="1" x14ac:dyDescent="0.35">
      <c r="A523" s="36"/>
      <c r="B523" s="11"/>
      <c r="C523" s="36"/>
    </row>
    <row r="524" spans="1:3" ht="14.25" customHeight="1" x14ac:dyDescent="0.35">
      <c r="A524" s="36"/>
      <c r="B524" s="11"/>
      <c r="C524" s="36"/>
    </row>
    <row r="525" spans="1:3" ht="14.25" customHeight="1" x14ac:dyDescent="0.35">
      <c r="A525" s="36"/>
      <c r="B525" s="11"/>
      <c r="C525" s="36"/>
    </row>
    <row r="526" spans="1:3" ht="14.25" customHeight="1" x14ac:dyDescent="0.35">
      <c r="A526" s="36"/>
      <c r="B526" s="11"/>
      <c r="C526" s="36"/>
    </row>
    <row r="527" spans="1:3" ht="14.25" customHeight="1" x14ac:dyDescent="0.35">
      <c r="A527" s="36"/>
      <c r="B527" s="11"/>
      <c r="C527" s="36"/>
    </row>
    <row r="528" spans="1:3" ht="14.25" customHeight="1" x14ac:dyDescent="0.35">
      <c r="A528" s="36"/>
      <c r="B528" s="11"/>
      <c r="C528" s="36"/>
    </row>
    <row r="529" spans="1:3" ht="14.25" customHeight="1" x14ac:dyDescent="0.35">
      <c r="A529" s="36"/>
      <c r="B529" s="11"/>
      <c r="C529" s="36"/>
    </row>
    <row r="530" spans="1:3" ht="14.25" customHeight="1" x14ac:dyDescent="0.35">
      <c r="A530" s="36"/>
      <c r="B530" s="11"/>
      <c r="C530" s="36"/>
    </row>
    <row r="531" spans="1:3" ht="14.25" customHeight="1" x14ac:dyDescent="0.35">
      <c r="A531" s="36"/>
      <c r="B531" s="11"/>
      <c r="C531" s="36"/>
    </row>
    <row r="532" spans="1:3" ht="14.25" customHeight="1" x14ac:dyDescent="0.35">
      <c r="A532" s="36"/>
      <c r="B532" s="11"/>
      <c r="C532" s="36"/>
    </row>
    <row r="533" spans="1:3" ht="14.25" customHeight="1" x14ac:dyDescent="0.35">
      <c r="A533" s="36"/>
      <c r="B533" s="11"/>
      <c r="C533" s="36"/>
    </row>
    <row r="534" spans="1:3" ht="14.25" customHeight="1" x14ac:dyDescent="0.35">
      <c r="A534" s="36"/>
      <c r="B534" s="11"/>
      <c r="C534" s="36"/>
    </row>
    <row r="535" spans="1:3" ht="14.25" customHeight="1" x14ac:dyDescent="0.35">
      <c r="A535" s="36"/>
      <c r="B535" s="11"/>
      <c r="C535" s="36"/>
    </row>
    <row r="536" spans="1:3" ht="14.25" customHeight="1" x14ac:dyDescent="0.35">
      <c r="A536" s="36"/>
      <c r="B536" s="11"/>
      <c r="C536" s="36"/>
    </row>
    <row r="537" spans="1:3" ht="14.25" customHeight="1" x14ac:dyDescent="0.35">
      <c r="A537" s="36"/>
      <c r="B537" s="11"/>
      <c r="C537" s="36"/>
    </row>
    <row r="538" spans="1:3" ht="14.25" customHeight="1" x14ac:dyDescent="0.35">
      <c r="A538" s="36"/>
      <c r="B538" s="11"/>
      <c r="C538" s="36"/>
    </row>
    <row r="539" spans="1:3" ht="14.25" customHeight="1" x14ac:dyDescent="0.35">
      <c r="A539" s="36"/>
      <c r="B539" s="11"/>
      <c r="C539" s="36"/>
    </row>
    <row r="540" spans="1:3" ht="14.25" customHeight="1" x14ac:dyDescent="0.35">
      <c r="A540" s="36"/>
      <c r="B540" s="11"/>
      <c r="C540" s="36"/>
    </row>
    <row r="541" spans="1:3" ht="14.25" customHeight="1" x14ac:dyDescent="0.35">
      <c r="A541" s="36"/>
      <c r="B541" s="11"/>
      <c r="C541" s="36"/>
    </row>
    <row r="542" spans="1:3" ht="14.25" customHeight="1" x14ac:dyDescent="0.35">
      <c r="A542" s="36"/>
      <c r="B542" s="11"/>
      <c r="C542" s="36"/>
    </row>
    <row r="543" spans="1:3" ht="14.25" customHeight="1" x14ac:dyDescent="0.35">
      <c r="A543" s="36"/>
      <c r="B543" s="11"/>
      <c r="C543" s="36"/>
    </row>
    <row r="544" spans="1:3" ht="14.25" customHeight="1" x14ac:dyDescent="0.35">
      <c r="A544" s="36"/>
      <c r="B544" s="11"/>
      <c r="C544" s="36"/>
    </row>
    <row r="545" spans="1:3" ht="14.25" customHeight="1" x14ac:dyDescent="0.35">
      <c r="A545" s="36"/>
      <c r="B545" s="11"/>
      <c r="C545" s="36"/>
    </row>
    <row r="546" spans="1:3" ht="14.25" customHeight="1" x14ac:dyDescent="0.35">
      <c r="A546" s="36"/>
      <c r="B546" s="11"/>
      <c r="C546" s="36"/>
    </row>
    <row r="547" spans="1:3" ht="14.25" customHeight="1" x14ac:dyDescent="0.35">
      <c r="A547" s="36"/>
      <c r="B547" s="11"/>
      <c r="C547" s="36"/>
    </row>
    <row r="548" spans="1:3" ht="14.25" customHeight="1" x14ac:dyDescent="0.35">
      <c r="A548" s="36"/>
      <c r="B548" s="11"/>
      <c r="C548" s="36"/>
    </row>
    <row r="549" spans="1:3" ht="14.25" customHeight="1" x14ac:dyDescent="0.35">
      <c r="A549" s="36"/>
      <c r="B549" s="11"/>
      <c r="C549" s="36"/>
    </row>
    <row r="550" spans="1:3" ht="14.25" customHeight="1" x14ac:dyDescent="0.35">
      <c r="A550" s="36"/>
      <c r="B550" s="11"/>
      <c r="C550" s="36"/>
    </row>
    <row r="551" spans="1:3" ht="14.25" customHeight="1" x14ac:dyDescent="0.35">
      <c r="A551" s="36"/>
      <c r="B551" s="11"/>
      <c r="C551" s="36"/>
    </row>
    <row r="552" spans="1:3" ht="14.25" customHeight="1" x14ac:dyDescent="0.35">
      <c r="A552" s="36"/>
      <c r="B552" s="11"/>
      <c r="C552" s="36"/>
    </row>
    <row r="553" spans="1:3" ht="14.25" customHeight="1" x14ac:dyDescent="0.35">
      <c r="A553" s="36"/>
      <c r="B553" s="11"/>
      <c r="C553" s="36"/>
    </row>
    <row r="554" spans="1:3" ht="14.25" customHeight="1" x14ac:dyDescent="0.35">
      <c r="A554" s="36"/>
      <c r="B554" s="11"/>
      <c r="C554" s="36"/>
    </row>
    <row r="555" spans="1:3" ht="14.25" customHeight="1" x14ac:dyDescent="0.35">
      <c r="A555" s="36"/>
      <c r="B555" s="11"/>
      <c r="C555" s="36"/>
    </row>
    <row r="556" spans="1:3" ht="14.25" customHeight="1" x14ac:dyDescent="0.35">
      <c r="A556" s="36"/>
      <c r="B556" s="11"/>
      <c r="C556" s="36"/>
    </row>
    <row r="557" spans="1:3" ht="14.25" customHeight="1" x14ac:dyDescent="0.35">
      <c r="A557" s="36"/>
      <c r="B557" s="11"/>
      <c r="C557" s="36"/>
    </row>
    <row r="558" spans="1:3" ht="14.25" customHeight="1" x14ac:dyDescent="0.35">
      <c r="A558" s="36"/>
      <c r="B558" s="11"/>
      <c r="C558" s="36"/>
    </row>
    <row r="559" spans="1:3" ht="14.25" customHeight="1" x14ac:dyDescent="0.35">
      <c r="A559" s="36"/>
      <c r="B559" s="11"/>
      <c r="C559" s="36"/>
    </row>
    <row r="560" spans="1:3" ht="14.25" customHeight="1" x14ac:dyDescent="0.35">
      <c r="A560" s="36"/>
      <c r="B560" s="11"/>
      <c r="C560" s="36"/>
    </row>
    <row r="561" spans="1:3" ht="14.25" customHeight="1" x14ac:dyDescent="0.35">
      <c r="A561" s="36"/>
      <c r="B561" s="11"/>
      <c r="C561" s="36"/>
    </row>
    <row r="562" spans="1:3" ht="14.25" customHeight="1" x14ac:dyDescent="0.35">
      <c r="A562" s="36"/>
      <c r="B562" s="11"/>
      <c r="C562" s="36"/>
    </row>
    <row r="563" spans="1:3" ht="14.25" customHeight="1" x14ac:dyDescent="0.35">
      <c r="A563" s="36"/>
      <c r="B563" s="11"/>
      <c r="C563" s="36"/>
    </row>
    <row r="564" spans="1:3" ht="14.25" customHeight="1" x14ac:dyDescent="0.35">
      <c r="A564" s="36"/>
      <c r="B564" s="11"/>
      <c r="C564" s="36"/>
    </row>
    <row r="565" spans="1:3" ht="14.25" customHeight="1" x14ac:dyDescent="0.35">
      <c r="A565" s="36"/>
      <c r="B565" s="11"/>
      <c r="C565" s="36"/>
    </row>
    <row r="566" spans="1:3" ht="14.25" customHeight="1" x14ac:dyDescent="0.35">
      <c r="A566" s="36"/>
      <c r="B566" s="11"/>
      <c r="C566" s="36"/>
    </row>
    <row r="567" spans="1:3" ht="14.25" customHeight="1" x14ac:dyDescent="0.35">
      <c r="A567" s="36"/>
      <c r="B567" s="11"/>
      <c r="C567" s="36"/>
    </row>
    <row r="568" spans="1:3" ht="14.25" customHeight="1" x14ac:dyDescent="0.35">
      <c r="A568" s="36"/>
      <c r="B568" s="11"/>
      <c r="C568" s="36"/>
    </row>
    <row r="569" spans="1:3" ht="14.25" customHeight="1" x14ac:dyDescent="0.35">
      <c r="A569" s="36"/>
      <c r="B569" s="11"/>
      <c r="C569" s="36"/>
    </row>
    <row r="570" spans="1:3" ht="14.25" customHeight="1" x14ac:dyDescent="0.35">
      <c r="A570" s="36"/>
      <c r="B570" s="11"/>
      <c r="C570" s="36"/>
    </row>
    <row r="571" spans="1:3" ht="14.25" customHeight="1" x14ac:dyDescent="0.35">
      <c r="A571" s="36"/>
      <c r="B571" s="11"/>
      <c r="C571" s="36"/>
    </row>
    <row r="572" spans="1:3" ht="14.25" customHeight="1" x14ac:dyDescent="0.35">
      <c r="A572" s="36"/>
      <c r="B572" s="11"/>
      <c r="C572" s="36"/>
    </row>
    <row r="573" spans="1:3" ht="14.25" customHeight="1" x14ac:dyDescent="0.35">
      <c r="A573" s="36"/>
      <c r="B573" s="11"/>
      <c r="C573" s="36"/>
    </row>
    <row r="574" spans="1:3" ht="14.25" customHeight="1" x14ac:dyDescent="0.35">
      <c r="A574" s="36"/>
      <c r="B574" s="11"/>
      <c r="C574" s="36"/>
    </row>
    <row r="575" spans="1:3" ht="14.25" customHeight="1" x14ac:dyDescent="0.35">
      <c r="A575" s="36"/>
      <c r="B575" s="11"/>
      <c r="C575" s="36"/>
    </row>
    <row r="576" spans="1:3" ht="14.25" customHeight="1" x14ac:dyDescent="0.35">
      <c r="A576" s="36"/>
      <c r="B576" s="11"/>
      <c r="C576" s="36"/>
    </row>
    <row r="577" spans="1:3" ht="14.25" customHeight="1" x14ac:dyDescent="0.35">
      <c r="A577" s="36"/>
      <c r="B577" s="11"/>
      <c r="C577" s="36"/>
    </row>
    <row r="578" spans="1:3" ht="14.25" customHeight="1" x14ac:dyDescent="0.35">
      <c r="A578" s="36"/>
      <c r="B578" s="11"/>
      <c r="C578" s="36"/>
    </row>
    <row r="579" spans="1:3" ht="14.25" customHeight="1" x14ac:dyDescent="0.35">
      <c r="A579" s="36"/>
      <c r="B579" s="11"/>
      <c r="C579" s="36"/>
    </row>
    <row r="580" spans="1:3" ht="14.25" customHeight="1" x14ac:dyDescent="0.35">
      <c r="A580" s="36"/>
      <c r="B580" s="11"/>
      <c r="C580" s="36"/>
    </row>
    <row r="581" spans="1:3" ht="14.25" customHeight="1" x14ac:dyDescent="0.35">
      <c r="A581" s="36"/>
      <c r="B581" s="11"/>
      <c r="C581" s="36"/>
    </row>
    <row r="582" spans="1:3" ht="14.25" customHeight="1" x14ac:dyDescent="0.35">
      <c r="A582" s="36"/>
      <c r="B582" s="11"/>
      <c r="C582" s="36"/>
    </row>
    <row r="583" spans="1:3" ht="14.25" customHeight="1" x14ac:dyDescent="0.35">
      <c r="A583" s="36"/>
      <c r="B583" s="11"/>
      <c r="C583" s="36"/>
    </row>
    <row r="584" spans="1:3" ht="14.25" customHeight="1" x14ac:dyDescent="0.35">
      <c r="A584" s="36"/>
      <c r="B584" s="11"/>
      <c r="C584" s="36"/>
    </row>
    <row r="585" spans="1:3" ht="14.25" customHeight="1" x14ac:dyDescent="0.35">
      <c r="A585" s="36"/>
      <c r="B585" s="11"/>
      <c r="C585" s="36"/>
    </row>
    <row r="586" spans="1:3" ht="14.25" customHeight="1" x14ac:dyDescent="0.35">
      <c r="A586" s="36"/>
      <c r="B586" s="11"/>
      <c r="C586" s="36"/>
    </row>
    <row r="587" spans="1:3" ht="14.25" customHeight="1" x14ac:dyDescent="0.35">
      <c r="A587" s="36"/>
      <c r="B587" s="11"/>
      <c r="C587" s="36"/>
    </row>
    <row r="588" spans="1:3" ht="14.25" customHeight="1" x14ac:dyDescent="0.35">
      <c r="A588" s="36"/>
      <c r="B588" s="11"/>
      <c r="C588" s="36"/>
    </row>
    <row r="589" spans="1:3" ht="14.25" customHeight="1" x14ac:dyDescent="0.35">
      <c r="A589" s="36"/>
      <c r="B589" s="11"/>
      <c r="C589" s="36"/>
    </row>
    <row r="590" spans="1:3" ht="14.25" customHeight="1" x14ac:dyDescent="0.35">
      <c r="A590" s="36"/>
      <c r="B590" s="11"/>
      <c r="C590" s="36"/>
    </row>
    <row r="591" spans="1:3" ht="14.25" customHeight="1" x14ac:dyDescent="0.35">
      <c r="A591" s="36"/>
      <c r="B591" s="11"/>
      <c r="C591" s="36"/>
    </row>
    <row r="592" spans="1:3" ht="14.25" customHeight="1" x14ac:dyDescent="0.35">
      <c r="A592" s="36"/>
      <c r="B592" s="11"/>
      <c r="C592" s="36"/>
    </row>
    <row r="593" spans="1:3" ht="14.25" customHeight="1" x14ac:dyDescent="0.35">
      <c r="A593" s="36"/>
      <c r="B593" s="11"/>
      <c r="C593" s="36"/>
    </row>
    <row r="594" spans="1:3" ht="14.25" customHeight="1" x14ac:dyDescent="0.35">
      <c r="A594" s="36"/>
      <c r="B594" s="11"/>
      <c r="C594" s="36"/>
    </row>
    <row r="595" spans="1:3" ht="14.25" customHeight="1" x14ac:dyDescent="0.35">
      <c r="A595" s="36"/>
      <c r="B595" s="11"/>
      <c r="C595" s="36"/>
    </row>
    <row r="596" spans="1:3" ht="14.25" customHeight="1" x14ac:dyDescent="0.35">
      <c r="A596" s="36"/>
      <c r="B596" s="11"/>
      <c r="C596" s="36"/>
    </row>
    <row r="597" spans="1:3" ht="14.25" customHeight="1" x14ac:dyDescent="0.35">
      <c r="A597" s="36"/>
      <c r="B597" s="11"/>
      <c r="C597" s="36"/>
    </row>
    <row r="598" spans="1:3" ht="14.25" customHeight="1" x14ac:dyDescent="0.35">
      <c r="A598" s="36"/>
      <c r="B598" s="11"/>
      <c r="C598" s="36"/>
    </row>
    <row r="599" spans="1:3" ht="14.25" customHeight="1" x14ac:dyDescent="0.35">
      <c r="A599" s="36"/>
      <c r="B599" s="11"/>
      <c r="C599" s="36"/>
    </row>
    <row r="600" spans="1:3" ht="14.25" customHeight="1" x14ac:dyDescent="0.35">
      <c r="A600" s="36"/>
      <c r="B600" s="11"/>
      <c r="C600" s="36"/>
    </row>
    <row r="601" spans="1:3" ht="14.25" customHeight="1" x14ac:dyDescent="0.35">
      <c r="A601" s="36"/>
      <c r="B601" s="11"/>
      <c r="C601" s="36"/>
    </row>
    <row r="602" spans="1:3" ht="14.25" customHeight="1" x14ac:dyDescent="0.35">
      <c r="A602" s="36"/>
      <c r="B602" s="11"/>
      <c r="C602" s="36"/>
    </row>
    <row r="603" spans="1:3" ht="14.25" customHeight="1" x14ac:dyDescent="0.35">
      <c r="A603" s="36"/>
      <c r="B603" s="11"/>
      <c r="C603" s="36"/>
    </row>
    <row r="604" spans="1:3" ht="14.25" customHeight="1" x14ac:dyDescent="0.35">
      <c r="A604" s="36"/>
      <c r="B604" s="11"/>
      <c r="C604" s="36"/>
    </row>
    <row r="605" spans="1:3" ht="14.25" customHeight="1" x14ac:dyDescent="0.35">
      <c r="A605" s="36"/>
      <c r="B605" s="11"/>
      <c r="C605" s="36"/>
    </row>
    <row r="606" spans="1:3" ht="14.25" customHeight="1" x14ac:dyDescent="0.35">
      <c r="A606" s="36"/>
      <c r="B606" s="11"/>
      <c r="C606" s="36"/>
    </row>
    <row r="607" spans="1:3" ht="14.25" customHeight="1" x14ac:dyDescent="0.35">
      <c r="A607" s="36"/>
      <c r="B607" s="11"/>
      <c r="C607" s="36"/>
    </row>
    <row r="608" spans="1:3" ht="14.25" customHeight="1" x14ac:dyDescent="0.35">
      <c r="A608" s="36"/>
      <c r="B608" s="11"/>
      <c r="C608" s="36"/>
    </row>
    <row r="609" spans="1:3" ht="14.25" customHeight="1" x14ac:dyDescent="0.35">
      <c r="A609" s="36"/>
      <c r="B609" s="11"/>
      <c r="C609" s="36"/>
    </row>
    <row r="610" spans="1:3" ht="14.25" customHeight="1" x14ac:dyDescent="0.35">
      <c r="A610" s="36"/>
      <c r="B610" s="11"/>
      <c r="C610" s="36"/>
    </row>
    <row r="611" spans="1:3" ht="14.25" customHeight="1" x14ac:dyDescent="0.35">
      <c r="A611" s="36"/>
      <c r="B611" s="11"/>
      <c r="C611" s="36"/>
    </row>
    <row r="612" spans="1:3" ht="14.25" customHeight="1" x14ac:dyDescent="0.35">
      <c r="A612" s="36"/>
      <c r="B612" s="11"/>
      <c r="C612" s="36"/>
    </row>
    <row r="613" spans="1:3" ht="14.25" customHeight="1" x14ac:dyDescent="0.35">
      <c r="A613" s="36"/>
      <c r="B613" s="11"/>
      <c r="C613" s="36"/>
    </row>
    <row r="614" spans="1:3" ht="14.25" customHeight="1" x14ac:dyDescent="0.35">
      <c r="A614" s="36"/>
      <c r="B614" s="11"/>
      <c r="C614" s="36"/>
    </row>
    <row r="615" spans="1:3" ht="14.25" customHeight="1" x14ac:dyDescent="0.35">
      <c r="A615" s="36"/>
      <c r="B615" s="11"/>
      <c r="C615" s="36"/>
    </row>
    <row r="616" spans="1:3" ht="14.25" customHeight="1" x14ac:dyDescent="0.35">
      <c r="A616" s="36"/>
      <c r="B616" s="11"/>
      <c r="C616" s="36"/>
    </row>
    <row r="617" spans="1:3" ht="14.25" customHeight="1" x14ac:dyDescent="0.35">
      <c r="A617" s="36"/>
      <c r="B617" s="11"/>
      <c r="C617" s="36"/>
    </row>
    <row r="618" spans="1:3" ht="14.25" customHeight="1" x14ac:dyDescent="0.35">
      <c r="A618" s="36"/>
      <c r="B618" s="11"/>
      <c r="C618" s="36"/>
    </row>
    <row r="619" spans="1:3" ht="14.25" customHeight="1" x14ac:dyDescent="0.35">
      <c r="A619" s="36"/>
      <c r="B619" s="11"/>
      <c r="C619" s="36"/>
    </row>
    <row r="620" spans="1:3" ht="14.25" customHeight="1" x14ac:dyDescent="0.35">
      <c r="A620" s="36"/>
      <c r="B620" s="11"/>
      <c r="C620" s="36"/>
    </row>
    <row r="621" spans="1:3" ht="14.25" customHeight="1" x14ac:dyDescent="0.35">
      <c r="A621" s="36"/>
      <c r="B621" s="11"/>
      <c r="C621" s="36"/>
    </row>
    <row r="622" spans="1:3" ht="14.25" customHeight="1" x14ac:dyDescent="0.35">
      <c r="A622" s="36"/>
      <c r="B622" s="11"/>
      <c r="C622" s="36"/>
    </row>
    <row r="623" spans="1:3" ht="14.25" customHeight="1" x14ac:dyDescent="0.35">
      <c r="A623" s="36"/>
      <c r="B623" s="11"/>
      <c r="C623" s="36"/>
    </row>
    <row r="624" spans="1:3" ht="14.25" customHeight="1" x14ac:dyDescent="0.35">
      <c r="A624" s="36"/>
      <c r="B624" s="11"/>
      <c r="C624" s="36"/>
    </row>
    <row r="625" spans="1:3" ht="14.25" customHeight="1" x14ac:dyDescent="0.35">
      <c r="A625" s="36"/>
      <c r="B625" s="11"/>
      <c r="C625" s="36"/>
    </row>
    <row r="626" spans="1:3" ht="14.25" customHeight="1" x14ac:dyDescent="0.35">
      <c r="A626" s="36"/>
      <c r="B626" s="11"/>
      <c r="C626" s="36"/>
    </row>
    <row r="627" spans="1:3" ht="14.25" customHeight="1" x14ac:dyDescent="0.35">
      <c r="A627" s="36"/>
      <c r="B627" s="11"/>
      <c r="C627" s="36"/>
    </row>
    <row r="628" spans="1:3" ht="14.25" customHeight="1" x14ac:dyDescent="0.35">
      <c r="A628" s="36"/>
      <c r="B628" s="11"/>
      <c r="C628" s="36"/>
    </row>
    <row r="629" spans="1:3" ht="14.25" customHeight="1" x14ac:dyDescent="0.35">
      <c r="A629" s="36"/>
      <c r="B629" s="11"/>
      <c r="C629" s="36"/>
    </row>
    <row r="630" spans="1:3" ht="14.25" customHeight="1" x14ac:dyDescent="0.35">
      <c r="A630" s="36"/>
      <c r="B630" s="11"/>
      <c r="C630" s="36"/>
    </row>
    <row r="631" spans="1:3" ht="14.25" customHeight="1" x14ac:dyDescent="0.35">
      <c r="A631" s="36"/>
      <c r="B631" s="11"/>
      <c r="C631" s="36"/>
    </row>
    <row r="632" spans="1:3" ht="14.25" customHeight="1" x14ac:dyDescent="0.35">
      <c r="A632" s="36"/>
      <c r="B632" s="11"/>
      <c r="C632" s="36"/>
    </row>
    <row r="633" spans="1:3" ht="14.25" customHeight="1" x14ac:dyDescent="0.35">
      <c r="A633" s="36"/>
      <c r="B633" s="11"/>
      <c r="C633" s="36"/>
    </row>
    <row r="634" spans="1:3" ht="14.25" customHeight="1" x14ac:dyDescent="0.35">
      <c r="A634" s="36"/>
      <c r="B634" s="11"/>
      <c r="C634" s="36"/>
    </row>
    <row r="635" spans="1:3" ht="14.25" customHeight="1" x14ac:dyDescent="0.35">
      <c r="A635" s="36"/>
      <c r="B635" s="11"/>
      <c r="C635" s="36"/>
    </row>
    <row r="636" spans="1:3" ht="14.25" customHeight="1" x14ac:dyDescent="0.35">
      <c r="A636" s="36"/>
      <c r="B636" s="11"/>
      <c r="C636" s="36"/>
    </row>
    <row r="637" spans="1:3" ht="14.25" customHeight="1" x14ac:dyDescent="0.35">
      <c r="A637" s="36"/>
      <c r="B637" s="11"/>
      <c r="C637" s="36"/>
    </row>
    <row r="638" spans="1:3" ht="14.25" customHeight="1" x14ac:dyDescent="0.35">
      <c r="A638" s="36"/>
      <c r="B638" s="11"/>
      <c r="C638" s="36"/>
    </row>
    <row r="639" spans="1:3" ht="14.25" customHeight="1" x14ac:dyDescent="0.35">
      <c r="A639" s="36"/>
      <c r="B639" s="11"/>
      <c r="C639" s="36"/>
    </row>
    <row r="640" spans="1:3" ht="14.25" customHeight="1" x14ac:dyDescent="0.35">
      <c r="A640" s="36"/>
      <c r="B640" s="11"/>
      <c r="C640" s="36"/>
    </row>
    <row r="641" spans="1:3" ht="14.25" customHeight="1" x14ac:dyDescent="0.35">
      <c r="A641" s="36"/>
      <c r="B641" s="11"/>
      <c r="C641" s="36"/>
    </row>
    <row r="642" spans="1:3" ht="14.25" customHeight="1" x14ac:dyDescent="0.35">
      <c r="A642" s="36"/>
      <c r="B642" s="11"/>
      <c r="C642" s="36"/>
    </row>
    <row r="643" spans="1:3" ht="14.25" customHeight="1" x14ac:dyDescent="0.35">
      <c r="A643" s="36"/>
      <c r="B643" s="11"/>
      <c r="C643" s="36"/>
    </row>
    <row r="644" spans="1:3" ht="14.25" customHeight="1" x14ac:dyDescent="0.35">
      <c r="A644" s="36"/>
      <c r="B644" s="11"/>
      <c r="C644" s="36"/>
    </row>
    <row r="645" spans="1:3" ht="14.25" customHeight="1" x14ac:dyDescent="0.35">
      <c r="A645" s="36"/>
      <c r="B645" s="11"/>
      <c r="C645" s="36"/>
    </row>
    <row r="646" spans="1:3" ht="14.25" customHeight="1" x14ac:dyDescent="0.35">
      <c r="A646" s="36"/>
      <c r="B646" s="11"/>
      <c r="C646" s="36"/>
    </row>
    <row r="647" spans="1:3" ht="14.25" customHeight="1" x14ac:dyDescent="0.35">
      <c r="A647" s="36"/>
      <c r="B647" s="11"/>
      <c r="C647" s="36"/>
    </row>
    <row r="648" spans="1:3" ht="14.25" customHeight="1" x14ac:dyDescent="0.35">
      <c r="A648" s="36"/>
      <c r="B648" s="11"/>
      <c r="C648" s="36"/>
    </row>
    <row r="649" spans="1:3" ht="14.25" customHeight="1" x14ac:dyDescent="0.35">
      <c r="A649" s="36"/>
      <c r="B649" s="11"/>
      <c r="C649" s="36"/>
    </row>
    <row r="650" spans="1:3" ht="14.25" customHeight="1" x14ac:dyDescent="0.35">
      <c r="A650" s="36"/>
      <c r="B650" s="11"/>
      <c r="C650" s="36"/>
    </row>
    <row r="651" spans="1:3" ht="14.25" customHeight="1" x14ac:dyDescent="0.35">
      <c r="A651" s="36"/>
      <c r="B651" s="11"/>
      <c r="C651" s="36"/>
    </row>
    <row r="652" spans="1:3" ht="14.25" customHeight="1" x14ac:dyDescent="0.35">
      <c r="A652" s="36"/>
      <c r="B652" s="11"/>
      <c r="C652" s="36"/>
    </row>
    <row r="653" spans="1:3" ht="14.25" customHeight="1" x14ac:dyDescent="0.35">
      <c r="A653" s="36"/>
      <c r="B653" s="11"/>
      <c r="C653" s="36"/>
    </row>
    <row r="654" spans="1:3" ht="14.25" customHeight="1" x14ac:dyDescent="0.35">
      <c r="A654" s="36"/>
      <c r="B654" s="11"/>
      <c r="C654" s="36"/>
    </row>
    <row r="655" spans="1:3" ht="14.25" customHeight="1" x14ac:dyDescent="0.35">
      <c r="A655" s="36"/>
      <c r="B655" s="11"/>
      <c r="C655" s="36"/>
    </row>
    <row r="656" spans="1:3" ht="14.25" customHeight="1" x14ac:dyDescent="0.35">
      <c r="A656" s="36"/>
      <c r="B656" s="11"/>
      <c r="C656" s="36"/>
    </row>
    <row r="657" spans="1:3" ht="14.25" customHeight="1" x14ac:dyDescent="0.35">
      <c r="A657" s="36"/>
      <c r="B657" s="11"/>
      <c r="C657" s="36"/>
    </row>
    <row r="658" spans="1:3" ht="14.25" customHeight="1" x14ac:dyDescent="0.35">
      <c r="A658" s="36"/>
      <c r="B658" s="11"/>
      <c r="C658" s="36"/>
    </row>
    <row r="659" spans="1:3" ht="14.25" customHeight="1" x14ac:dyDescent="0.35">
      <c r="A659" s="36"/>
      <c r="B659" s="11"/>
      <c r="C659" s="36"/>
    </row>
    <row r="660" spans="1:3" ht="14.25" customHeight="1" x14ac:dyDescent="0.35">
      <c r="A660" s="36"/>
      <c r="B660" s="11"/>
      <c r="C660" s="36"/>
    </row>
    <row r="661" spans="1:3" ht="14.25" customHeight="1" x14ac:dyDescent="0.35">
      <c r="A661" s="36"/>
      <c r="B661" s="11"/>
      <c r="C661" s="36"/>
    </row>
    <row r="662" spans="1:3" ht="14.25" customHeight="1" x14ac:dyDescent="0.35">
      <c r="A662" s="36"/>
      <c r="B662" s="11"/>
      <c r="C662" s="36"/>
    </row>
    <row r="663" spans="1:3" ht="14.25" customHeight="1" x14ac:dyDescent="0.35">
      <c r="A663" s="36"/>
      <c r="B663" s="11"/>
      <c r="C663" s="36"/>
    </row>
    <row r="664" spans="1:3" ht="14.25" customHeight="1" x14ac:dyDescent="0.35">
      <c r="A664" s="36"/>
      <c r="B664" s="11"/>
      <c r="C664" s="36"/>
    </row>
    <row r="665" spans="1:3" ht="14.25" customHeight="1" x14ac:dyDescent="0.35">
      <c r="A665" s="36"/>
      <c r="B665" s="11"/>
      <c r="C665" s="36"/>
    </row>
    <row r="666" spans="1:3" ht="14.25" customHeight="1" x14ac:dyDescent="0.35">
      <c r="A666" s="36"/>
      <c r="B666" s="11"/>
      <c r="C666" s="36"/>
    </row>
    <row r="667" spans="1:3" ht="14.25" customHeight="1" x14ac:dyDescent="0.35">
      <c r="A667" s="36"/>
      <c r="B667" s="11"/>
      <c r="C667" s="36"/>
    </row>
    <row r="668" spans="1:3" ht="14.25" customHeight="1" x14ac:dyDescent="0.35">
      <c r="A668" s="36"/>
      <c r="B668" s="11"/>
      <c r="C668" s="36"/>
    </row>
    <row r="669" spans="1:3" ht="14.25" customHeight="1" x14ac:dyDescent="0.35">
      <c r="A669" s="36"/>
      <c r="B669" s="11"/>
      <c r="C669" s="36"/>
    </row>
    <row r="670" spans="1:3" ht="14.25" customHeight="1" x14ac:dyDescent="0.35">
      <c r="A670" s="36"/>
      <c r="B670" s="11"/>
      <c r="C670" s="36"/>
    </row>
    <row r="671" spans="1:3" ht="14.25" customHeight="1" x14ac:dyDescent="0.35">
      <c r="A671" s="36"/>
      <c r="B671" s="11"/>
      <c r="C671" s="36"/>
    </row>
    <row r="672" spans="1:3" ht="14.25" customHeight="1" x14ac:dyDescent="0.35">
      <c r="A672" s="36"/>
      <c r="B672" s="11"/>
      <c r="C672" s="36"/>
    </row>
    <row r="673" spans="1:3" ht="14.25" customHeight="1" x14ac:dyDescent="0.35">
      <c r="A673" s="36"/>
      <c r="B673" s="11"/>
      <c r="C673" s="36"/>
    </row>
    <row r="674" spans="1:3" ht="14.25" customHeight="1" x14ac:dyDescent="0.35">
      <c r="A674" s="36"/>
      <c r="B674" s="11"/>
      <c r="C674" s="36"/>
    </row>
    <row r="675" spans="1:3" ht="14.25" customHeight="1" x14ac:dyDescent="0.35">
      <c r="A675" s="36"/>
      <c r="B675" s="11"/>
      <c r="C675" s="36"/>
    </row>
    <row r="676" spans="1:3" ht="14.25" customHeight="1" x14ac:dyDescent="0.35">
      <c r="A676" s="36"/>
      <c r="B676" s="11"/>
      <c r="C676" s="36"/>
    </row>
    <row r="677" spans="1:3" ht="14.25" customHeight="1" x14ac:dyDescent="0.35">
      <c r="A677" s="36"/>
      <c r="B677" s="11"/>
      <c r="C677" s="36"/>
    </row>
    <row r="678" spans="1:3" ht="14.25" customHeight="1" x14ac:dyDescent="0.35">
      <c r="A678" s="36"/>
      <c r="B678" s="11"/>
      <c r="C678" s="36"/>
    </row>
    <row r="679" spans="1:3" ht="14.25" customHeight="1" x14ac:dyDescent="0.35">
      <c r="A679" s="36"/>
      <c r="B679" s="11"/>
      <c r="C679" s="36"/>
    </row>
    <row r="680" spans="1:3" ht="14.25" customHeight="1" x14ac:dyDescent="0.35">
      <c r="A680" s="36"/>
      <c r="B680" s="11"/>
      <c r="C680" s="36"/>
    </row>
    <row r="681" spans="1:3" ht="14.25" customHeight="1" x14ac:dyDescent="0.35">
      <c r="A681" s="36"/>
      <c r="B681" s="11"/>
      <c r="C681" s="36"/>
    </row>
    <row r="682" spans="1:3" ht="14.25" customHeight="1" x14ac:dyDescent="0.35">
      <c r="A682" s="36"/>
      <c r="B682" s="11"/>
      <c r="C682" s="36"/>
    </row>
    <row r="683" spans="1:3" ht="14.25" customHeight="1" x14ac:dyDescent="0.35">
      <c r="A683" s="36"/>
      <c r="B683" s="11"/>
      <c r="C683" s="36"/>
    </row>
    <row r="684" spans="1:3" ht="14.25" customHeight="1" x14ac:dyDescent="0.35">
      <c r="A684" s="36"/>
      <c r="B684" s="11"/>
      <c r="C684" s="36"/>
    </row>
    <row r="685" spans="1:3" ht="14.25" customHeight="1" x14ac:dyDescent="0.35">
      <c r="A685" s="36"/>
      <c r="B685" s="11"/>
      <c r="C685" s="36"/>
    </row>
    <row r="686" spans="1:3" ht="14.25" customHeight="1" x14ac:dyDescent="0.35">
      <c r="A686" s="36"/>
      <c r="B686" s="11"/>
      <c r="C686" s="36"/>
    </row>
    <row r="687" spans="1:3" ht="14.25" customHeight="1" x14ac:dyDescent="0.35">
      <c r="A687" s="36"/>
      <c r="B687" s="11"/>
      <c r="C687" s="36"/>
    </row>
    <row r="688" spans="1:3" ht="14.25" customHeight="1" x14ac:dyDescent="0.35">
      <c r="A688" s="36"/>
      <c r="B688" s="11"/>
      <c r="C688" s="36"/>
    </row>
    <row r="689" spans="1:3" ht="14.25" customHeight="1" x14ac:dyDescent="0.35">
      <c r="A689" s="36"/>
      <c r="B689" s="11"/>
      <c r="C689" s="36"/>
    </row>
    <row r="690" spans="1:3" ht="14.25" customHeight="1" x14ac:dyDescent="0.35">
      <c r="A690" s="36"/>
      <c r="B690" s="11"/>
      <c r="C690" s="36"/>
    </row>
    <row r="691" spans="1:3" ht="14.25" customHeight="1" x14ac:dyDescent="0.35">
      <c r="A691" s="36"/>
      <c r="B691" s="11"/>
      <c r="C691" s="36"/>
    </row>
    <row r="692" spans="1:3" ht="14.25" customHeight="1" x14ac:dyDescent="0.35">
      <c r="A692" s="36"/>
      <c r="B692" s="11"/>
      <c r="C692" s="36"/>
    </row>
    <row r="693" spans="1:3" ht="14.25" customHeight="1" x14ac:dyDescent="0.35">
      <c r="A693" s="36"/>
      <c r="B693" s="11"/>
      <c r="C693" s="36"/>
    </row>
    <row r="694" spans="1:3" ht="14.25" customHeight="1" x14ac:dyDescent="0.35">
      <c r="A694" s="36"/>
      <c r="B694" s="11"/>
      <c r="C694" s="36"/>
    </row>
    <row r="695" spans="1:3" ht="14.25" customHeight="1" x14ac:dyDescent="0.35">
      <c r="A695" s="36"/>
      <c r="B695" s="11"/>
      <c r="C695" s="36"/>
    </row>
    <row r="696" spans="1:3" ht="14.25" customHeight="1" x14ac:dyDescent="0.35">
      <c r="A696" s="36"/>
      <c r="B696" s="11"/>
      <c r="C696" s="36"/>
    </row>
    <row r="697" spans="1:3" ht="14.25" customHeight="1" x14ac:dyDescent="0.35">
      <c r="A697" s="36"/>
      <c r="B697" s="11"/>
      <c r="C697" s="36"/>
    </row>
    <row r="698" spans="1:3" ht="14.25" customHeight="1" x14ac:dyDescent="0.35">
      <c r="A698" s="36"/>
      <c r="B698" s="11"/>
      <c r="C698" s="36"/>
    </row>
    <row r="699" spans="1:3" ht="14.25" customHeight="1" x14ac:dyDescent="0.35">
      <c r="A699" s="36"/>
      <c r="B699" s="11"/>
      <c r="C699" s="36"/>
    </row>
    <row r="700" spans="1:3" ht="14.25" customHeight="1" x14ac:dyDescent="0.35">
      <c r="A700" s="36"/>
      <c r="B700" s="11"/>
      <c r="C700" s="36"/>
    </row>
    <row r="701" spans="1:3" ht="14.25" customHeight="1" x14ac:dyDescent="0.35">
      <c r="A701" s="36"/>
      <c r="B701" s="11"/>
      <c r="C701" s="36"/>
    </row>
    <row r="702" spans="1:3" ht="14.25" customHeight="1" x14ac:dyDescent="0.35">
      <c r="A702" s="36"/>
      <c r="B702" s="11"/>
      <c r="C702" s="36"/>
    </row>
    <row r="703" spans="1:3" ht="14.25" customHeight="1" x14ac:dyDescent="0.35">
      <c r="A703" s="36"/>
      <c r="B703" s="11"/>
      <c r="C703" s="36"/>
    </row>
    <row r="704" spans="1:3" ht="14.25" customHeight="1" x14ac:dyDescent="0.35">
      <c r="A704" s="36"/>
      <c r="B704" s="11"/>
      <c r="C704" s="36"/>
    </row>
    <row r="705" spans="1:3" ht="14.25" customHeight="1" x14ac:dyDescent="0.35">
      <c r="A705" s="36"/>
      <c r="B705" s="11"/>
      <c r="C705" s="36"/>
    </row>
    <row r="706" spans="1:3" ht="14.25" customHeight="1" x14ac:dyDescent="0.35">
      <c r="A706" s="36"/>
      <c r="B706" s="11"/>
      <c r="C706" s="36"/>
    </row>
    <row r="707" spans="1:3" ht="14.25" customHeight="1" x14ac:dyDescent="0.35">
      <c r="A707" s="36"/>
      <c r="B707" s="11"/>
      <c r="C707" s="36"/>
    </row>
    <row r="708" spans="1:3" ht="14.25" customHeight="1" x14ac:dyDescent="0.35">
      <c r="A708" s="36"/>
      <c r="B708" s="11"/>
      <c r="C708" s="36"/>
    </row>
    <row r="709" spans="1:3" ht="14.25" customHeight="1" x14ac:dyDescent="0.35">
      <c r="A709" s="36"/>
      <c r="B709" s="11"/>
      <c r="C709" s="36"/>
    </row>
    <row r="710" spans="1:3" ht="14.25" customHeight="1" x14ac:dyDescent="0.35">
      <c r="A710" s="36"/>
      <c r="B710" s="11"/>
      <c r="C710" s="36"/>
    </row>
    <row r="711" spans="1:3" ht="14.25" customHeight="1" x14ac:dyDescent="0.35">
      <c r="A711" s="36"/>
      <c r="B711" s="11"/>
      <c r="C711" s="36"/>
    </row>
    <row r="712" spans="1:3" ht="14.25" customHeight="1" x14ac:dyDescent="0.35">
      <c r="A712" s="36"/>
      <c r="B712" s="11"/>
      <c r="C712" s="36"/>
    </row>
    <row r="713" spans="1:3" ht="14.25" customHeight="1" x14ac:dyDescent="0.35">
      <c r="A713" s="36"/>
      <c r="B713" s="11"/>
      <c r="C713" s="36"/>
    </row>
    <row r="714" spans="1:3" ht="14.25" customHeight="1" x14ac:dyDescent="0.35">
      <c r="A714" s="36"/>
      <c r="B714" s="11"/>
      <c r="C714" s="36"/>
    </row>
    <row r="715" spans="1:3" ht="14.25" customHeight="1" x14ac:dyDescent="0.35">
      <c r="A715" s="36"/>
      <c r="B715" s="11"/>
      <c r="C715" s="36"/>
    </row>
    <row r="716" spans="1:3" ht="14.25" customHeight="1" x14ac:dyDescent="0.35">
      <c r="A716" s="36"/>
      <c r="B716" s="11"/>
      <c r="C716" s="36"/>
    </row>
    <row r="717" spans="1:3" ht="14.25" customHeight="1" x14ac:dyDescent="0.35">
      <c r="A717" s="36"/>
      <c r="B717" s="11"/>
      <c r="C717" s="36"/>
    </row>
    <row r="718" spans="1:3" ht="14.25" customHeight="1" x14ac:dyDescent="0.35">
      <c r="A718" s="36"/>
      <c r="B718" s="11"/>
      <c r="C718" s="36"/>
    </row>
    <row r="719" spans="1:3" ht="14.25" customHeight="1" x14ac:dyDescent="0.35">
      <c r="A719" s="36"/>
      <c r="B719" s="11"/>
      <c r="C719" s="36"/>
    </row>
    <row r="720" spans="1:3" ht="14.25" customHeight="1" x14ac:dyDescent="0.35">
      <c r="A720" s="36"/>
      <c r="B720" s="11"/>
      <c r="C720" s="36"/>
    </row>
    <row r="721" spans="1:3" ht="14.25" customHeight="1" x14ac:dyDescent="0.35">
      <c r="A721" s="36"/>
      <c r="B721" s="11"/>
      <c r="C721" s="36"/>
    </row>
    <row r="722" spans="1:3" ht="14.25" customHeight="1" x14ac:dyDescent="0.35">
      <c r="A722" s="36"/>
      <c r="B722" s="11"/>
      <c r="C722" s="36"/>
    </row>
    <row r="723" spans="1:3" ht="14.25" customHeight="1" x14ac:dyDescent="0.35">
      <c r="A723" s="36"/>
      <c r="B723" s="11"/>
      <c r="C723" s="36"/>
    </row>
    <row r="724" spans="1:3" ht="14.25" customHeight="1" x14ac:dyDescent="0.35">
      <c r="A724" s="36"/>
      <c r="B724" s="11"/>
      <c r="C724" s="36"/>
    </row>
    <row r="725" spans="1:3" ht="14.25" customHeight="1" x14ac:dyDescent="0.35">
      <c r="A725" s="36"/>
      <c r="B725" s="11"/>
      <c r="C725" s="36"/>
    </row>
    <row r="726" spans="1:3" ht="14.25" customHeight="1" x14ac:dyDescent="0.35">
      <c r="A726" s="36"/>
      <c r="B726" s="11"/>
      <c r="C726" s="36"/>
    </row>
    <row r="727" spans="1:3" ht="14.25" customHeight="1" x14ac:dyDescent="0.35">
      <c r="A727" s="36"/>
      <c r="B727" s="11"/>
      <c r="C727" s="36"/>
    </row>
    <row r="728" spans="1:3" ht="14.25" customHeight="1" x14ac:dyDescent="0.35">
      <c r="A728" s="36"/>
      <c r="B728" s="11"/>
      <c r="C728" s="36"/>
    </row>
    <row r="729" spans="1:3" ht="14.25" customHeight="1" x14ac:dyDescent="0.35">
      <c r="A729" s="36"/>
      <c r="B729" s="11"/>
      <c r="C729" s="36"/>
    </row>
    <row r="730" spans="1:3" ht="14.25" customHeight="1" x14ac:dyDescent="0.35">
      <c r="A730" s="36"/>
      <c r="B730" s="11"/>
      <c r="C730" s="36"/>
    </row>
    <row r="731" spans="1:3" ht="14.25" customHeight="1" x14ac:dyDescent="0.35">
      <c r="A731" s="36"/>
      <c r="B731" s="11"/>
      <c r="C731" s="36"/>
    </row>
    <row r="732" spans="1:3" ht="14.25" customHeight="1" x14ac:dyDescent="0.35">
      <c r="A732" s="36"/>
      <c r="B732" s="11"/>
      <c r="C732" s="36"/>
    </row>
    <row r="733" spans="1:3" ht="14.25" customHeight="1" x14ac:dyDescent="0.35">
      <c r="A733" s="36"/>
      <c r="B733" s="11"/>
      <c r="C733" s="36"/>
    </row>
    <row r="734" spans="1:3" ht="14.25" customHeight="1" x14ac:dyDescent="0.35">
      <c r="A734" s="36"/>
      <c r="B734" s="11"/>
      <c r="C734" s="36"/>
    </row>
    <row r="735" spans="1:3" ht="14.25" customHeight="1" x14ac:dyDescent="0.35">
      <c r="A735" s="36"/>
      <c r="B735" s="11"/>
      <c r="C735" s="36"/>
    </row>
    <row r="736" spans="1:3" ht="14.25" customHeight="1" x14ac:dyDescent="0.35">
      <c r="A736" s="36"/>
      <c r="B736" s="11"/>
      <c r="C736" s="36"/>
    </row>
    <row r="737" spans="1:3" ht="14.25" customHeight="1" x14ac:dyDescent="0.35">
      <c r="A737" s="36"/>
      <c r="B737" s="11"/>
      <c r="C737" s="36"/>
    </row>
    <row r="738" spans="1:3" ht="14.25" customHeight="1" x14ac:dyDescent="0.35">
      <c r="A738" s="36"/>
      <c r="B738" s="11"/>
      <c r="C738" s="36"/>
    </row>
    <row r="739" spans="1:3" ht="14.25" customHeight="1" x14ac:dyDescent="0.35">
      <c r="A739" s="36"/>
      <c r="B739" s="11"/>
      <c r="C739" s="36"/>
    </row>
    <row r="740" spans="1:3" ht="14.25" customHeight="1" x14ac:dyDescent="0.35">
      <c r="A740" s="36"/>
      <c r="B740" s="11"/>
      <c r="C740" s="36"/>
    </row>
    <row r="741" spans="1:3" ht="14.25" customHeight="1" x14ac:dyDescent="0.35">
      <c r="A741" s="36"/>
      <c r="B741" s="11"/>
      <c r="C741" s="36"/>
    </row>
    <row r="742" spans="1:3" ht="14.25" customHeight="1" x14ac:dyDescent="0.35">
      <c r="A742" s="36"/>
      <c r="B742" s="11"/>
      <c r="C742" s="36"/>
    </row>
    <row r="743" spans="1:3" ht="14.25" customHeight="1" x14ac:dyDescent="0.35">
      <c r="A743" s="36"/>
      <c r="B743" s="11"/>
      <c r="C743" s="36"/>
    </row>
    <row r="744" spans="1:3" ht="14.25" customHeight="1" x14ac:dyDescent="0.35">
      <c r="A744" s="36"/>
      <c r="B744" s="11"/>
      <c r="C744" s="36"/>
    </row>
    <row r="745" spans="1:3" ht="14.25" customHeight="1" x14ac:dyDescent="0.35">
      <c r="A745" s="36"/>
      <c r="B745" s="11"/>
      <c r="C745" s="36"/>
    </row>
    <row r="746" spans="1:3" ht="14.25" customHeight="1" x14ac:dyDescent="0.35">
      <c r="A746" s="36"/>
      <c r="B746" s="11"/>
      <c r="C746" s="36"/>
    </row>
    <row r="747" spans="1:3" ht="14.25" customHeight="1" x14ac:dyDescent="0.35">
      <c r="A747" s="36"/>
      <c r="B747" s="11"/>
      <c r="C747" s="36"/>
    </row>
    <row r="748" spans="1:3" ht="14.25" customHeight="1" x14ac:dyDescent="0.35">
      <c r="A748" s="36"/>
      <c r="B748" s="11"/>
      <c r="C748" s="36"/>
    </row>
    <row r="749" spans="1:3" ht="14.25" customHeight="1" x14ac:dyDescent="0.35">
      <c r="A749" s="36"/>
      <c r="B749" s="11"/>
      <c r="C749" s="36"/>
    </row>
    <row r="750" spans="1:3" ht="14.25" customHeight="1" x14ac:dyDescent="0.35">
      <c r="A750" s="36"/>
      <c r="B750" s="11"/>
      <c r="C750" s="36"/>
    </row>
    <row r="751" spans="1:3" ht="14.25" customHeight="1" x14ac:dyDescent="0.35">
      <c r="A751" s="36"/>
      <c r="B751" s="11"/>
      <c r="C751" s="36"/>
    </row>
    <row r="752" spans="1:3" ht="14.25" customHeight="1" x14ac:dyDescent="0.35">
      <c r="A752" s="36"/>
      <c r="B752" s="11"/>
      <c r="C752" s="36"/>
    </row>
    <row r="753" spans="1:3" ht="14.25" customHeight="1" x14ac:dyDescent="0.35">
      <c r="A753" s="36"/>
      <c r="B753" s="11"/>
      <c r="C753" s="36"/>
    </row>
    <row r="754" spans="1:3" ht="14.25" customHeight="1" x14ac:dyDescent="0.35">
      <c r="A754" s="36"/>
      <c r="B754" s="11"/>
      <c r="C754" s="36"/>
    </row>
    <row r="755" spans="1:3" ht="14.25" customHeight="1" x14ac:dyDescent="0.35">
      <c r="A755" s="36"/>
      <c r="B755" s="11"/>
      <c r="C755" s="36"/>
    </row>
    <row r="756" spans="1:3" ht="14.25" customHeight="1" x14ac:dyDescent="0.35">
      <c r="A756" s="36"/>
      <c r="B756" s="11"/>
      <c r="C756" s="36"/>
    </row>
    <row r="757" spans="1:3" ht="14.25" customHeight="1" x14ac:dyDescent="0.35">
      <c r="A757" s="36"/>
      <c r="B757" s="11"/>
      <c r="C757" s="36"/>
    </row>
    <row r="758" spans="1:3" ht="14.25" customHeight="1" x14ac:dyDescent="0.35">
      <c r="A758" s="36"/>
      <c r="B758" s="11"/>
      <c r="C758" s="36"/>
    </row>
    <row r="759" spans="1:3" ht="14.25" customHeight="1" x14ac:dyDescent="0.35">
      <c r="A759" s="36"/>
      <c r="B759" s="11"/>
      <c r="C759" s="36"/>
    </row>
    <row r="760" spans="1:3" ht="14.25" customHeight="1" x14ac:dyDescent="0.35">
      <c r="A760" s="36"/>
      <c r="B760" s="11"/>
      <c r="C760" s="36"/>
    </row>
    <row r="761" spans="1:3" ht="14.25" customHeight="1" x14ac:dyDescent="0.35">
      <c r="A761" s="36"/>
      <c r="B761" s="11"/>
      <c r="C761" s="36"/>
    </row>
    <row r="762" spans="1:3" ht="14.25" customHeight="1" x14ac:dyDescent="0.35">
      <c r="A762" s="36"/>
      <c r="B762" s="11"/>
      <c r="C762" s="36"/>
    </row>
    <row r="763" spans="1:3" ht="14.25" customHeight="1" x14ac:dyDescent="0.35">
      <c r="A763" s="36"/>
      <c r="B763" s="11"/>
      <c r="C763" s="36"/>
    </row>
    <row r="764" spans="1:3" ht="14.25" customHeight="1" x14ac:dyDescent="0.35">
      <c r="A764" s="36"/>
      <c r="B764" s="11"/>
      <c r="C764" s="36"/>
    </row>
    <row r="765" spans="1:3" ht="14.25" customHeight="1" x14ac:dyDescent="0.35">
      <c r="A765" s="36"/>
      <c r="B765" s="11"/>
      <c r="C765" s="36"/>
    </row>
    <row r="766" spans="1:3" ht="14.25" customHeight="1" x14ac:dyDescent="0.35">
      <c r="A766" s="36"/>
      <c r="B766" s="11"/>
      <c r="C766" s="36"/>
    </row>
    <row r="767" spans="1:3" ht="14.25" customHeight="1" x14ac:dyDescent="0.35">
      <c r="A767" s="36"/>
      <c r="B767" s="11"/>
      <c r="C767" s="36"/>
    </row>
    <row r="768" spans="1:3" ht="14.25" customHeight="1" x14ac:dyDescent="0.35">
      <c r="A768" s="36"/>
      <c r="B768" s="11"/>
      <c r="C768" s="36"/>
    </row>
    <row r="769" spans="1:3" ht="14.25" customHeight="1" x14ac:dyDescent="0.35">
      <c r="A769" s="36"/>
      <c r="B769" s="11"/>
      <c r="C769" s="36"/>
    </row>
    <row r="770" spans="1:3" ht="14.25" customHeight="1" x14ac:dyDescent="0.35">
      <c r="A770" s="36"/>
      <c r="B770" s="11"/>
      <c r="C770" s="36"/>
    </row>
    <row r="771" spans="1:3" ht="14.25" customHeight="1" x14ac:dyDescent="0.35">
      <c r="A771" s="36"/>
      <c r="B771" s="11"/>
      <c r="C771" s="36"/>
    </row>
    <row r="772" spans="1:3" ht="14.25" customHeight="1" x14ac:dyDescent="0.35">
      <c r="A772" s="36"/>
      <c r="B772" s="11"/>
      <c r="C772" s="36"/>
    </row>
    <row r="773" spans="1:3" ht="14.25" customHeight="1" x14ac:dyDescent="0.35">
      <c r="A773" s="36"/>
      <c r="B773" s="11"/>
      <c r="C773" s="36"/>
    </row>
    <row r="774" spans="1:3" ht="14.25" customHeight="1" x14ac:dyDescent="0.35">
      <c r="A774" s="36"/>
      <c r="B774" s="11"/>
      <c r="C774" s="36"/>
    </row>
    <row r="775" spans="1:3" ht="14.25" customHeight="1" x14ac:dyDescent="0.35">
      <c r="A775" s="36"/>
      <c r="B775" s="11"/>
      <c r="C775" s="36"/>
    </row>
    <row r="776" spans="1:3" ht="14.25" customHeight="1" x14ac:dyDescent="0.35">
      <c r="A776" s="36"/>
      <c r="B776" s="11"/>
      <c r="C776" s="36"/>
    </row>
    <row r="777" spans="1:3" ht="14.25" customHeight="1" x14ac:dyDescent="0.35">
      <c r="A777" s="36"/>
      <c r="B777" s="11"/>
      <c r="C777" s="36"/>
    </row>
    <row r="778" spans="1:3" ht="14.25" customHeight="1" x14ac:dyDescent="0.35">
      <c r="A778" s="36"/>
      <c r="B778" s="11"/>
      <c r="C778" s="36"/>
    </row>
    <row r="779" spans="1:3" ht="14.25" customHeight="1" x14ac:dyDescent="0.35">
      <c r="A779" s="36"/>
      <c r="B779" s="11"/>
      <c r="C779" s="36"/>
    </row>
    <row r="780" spans="1:3" ht="14.25" customHeight="1" x14ac:dyDescent="0.35">
      <c r="A780" s="36"/>
      <c r="B780" s="11"/>
      <c r="C780" s="36"/>
    </row>
    <row r="781" spans="1:3" ht="14.25" customHeight="1" x14ac:dyDescent="0.35">
      <c r="A781" s="36"/>
      <c r="B781" s="11"/>
      <c r="C781" s="36"/>
    </row>
    <row r="782" spans="1:3" ht="14.25" customHeight="1" x14ac:dyDescent="0.35">
      <c r="A782" s="36"/>
      <c r="B782" s="11"/>
      <c r="C782" s="36"/>
    </row>
    <row r="783" spans="1:3" ht="14.25" customHeight="1" x14ac:dyDescent="0.35">
      <c r="A783" s="36"/>
      <c r="B783" s="11"/>
      <c r="C783" s="36"/>
    </row>
    <row r="784" spans="1:3" ht="14.25" customHeight="1" x14ac:dyDescent="0.35">
      <c r="A784" s="36"/>
      <c r="B784" s="11"/>
      <c r="C784" s="36"/>
    </row>
    <row r="785" spans="1:3" ht="14.25" customHeight="1" x14ac:dyDescent="0.35">
      <c r="A785" s="36"/>
      <c r="B785" s="11"/>
      <c r="C785" s="36"/>
    </row>
    <row r="786" spans="1:3" ht="14.25" customHeight="1" x14ac:dyDescent="0.35">
      <c r="A786" s="36"/>
      <c r="B786" s="11"/>
      <c r="C786" s="36"/>
    </row>
    <row r="787" spans="1:3" ht="14.25" customHeight="1" x14ac:dyDescent="0.35">
      <c r="A787" s="36"/>
      <c r="B787" s="11"/>
      <c r="C787" s="36"/>
    </row>
    <row r="788" spans="1:3" ht="14.25" customHeight="1" x14ac:dyDescent="0.35">
      <c r="A788" s="36"/>
      <c r="B788" s="11"/>
      <c r="C788" s="36"/>
    </row>
    <row r="789" spans="1:3" ht="14.25" customHeight="1" x14ac:dyDescent="0.35">
      <c r="A789" s="36"/>
      <c r="B789" s="11"/>
      <c r="C789" s="36"/>
    </row>
    <row r="790" spans="1:3" ht="14.25" customHeight="1" x14ac:dyDescent="0.35">
      <c r="A790" s="36"/>
      <c r="B790" s="11"/>
      <c r="C790" s="36"/>
    </row>
    <row r="791" spans="1:3" ht="14.25" customHeight="1" x14ac:dyDescent="0.35">
      <c r="A791" s="36"/>
      <c r="B791" s="11"/>
      <c r="C791" s="36"/>
    </row>
    <row r="792" spans="1:3" ht="14.25" customHeight="1" x14ac:dyDescent="0.35">
      <c r="A792" s="36"/>
      <c r="B792" s="11"/>
      <c r="C792" s="36"/>
    </row>
    <row r="793" spans="1:3" ht="14.25" customHeight="1" x14ac:dyDescent="0.35">
      <c r="A793" s="36"/>
      <c r="B793" s="11"/>
      <c r="C793" s="36"/>
    </row>
    <row r="794" spans="1:3" ht="14.25" customHeight="1" x14ac:dyDescent="0.35">
      <c r="A794" s="36"/>
      <c r="B794" s="11"/>
      <c r="C794" s="36"/>
    </row>
    <row r="795" spans="1:3" ht="14.25" customHeight="1" x14ac:dyDescent="0.35">
      <c r="A795" s="36"/>
      <c r="B795" s="11"/>
      <c r="C795" s="36"/>
    </row>
    <row r="796" spans="1:3" ht="14.25" customHeight="1" x14ac:dyDescent="0.35">
      <c r="A796" s="36"/>
      <c r="B796" s="11"/>
      <c r="C796" s="36"/>
    </row>
    <row r="797" spans="1:3" ht="14.25" customHeight="1" x14ac:dyDescent="0.35">
      <c r="A797" s="36"/>
      <c r="B797" s="11"/>
      <c r="C797" s="36"/>
    </row>
    <row r="798" spans="1:3" ht="14.25" customHeight="1" x14ac:dyDescent="0.35">
      <c r="A798" s="36"/>
      <c r="B798" s="11"/>
      <c r="C798" s="36"/>
    </row>
    <row r="799" spans="1:3" ht="14.25" customHeight="1" x14ac:dyDescent="0.35">
      <c r="A799" s="36"/>
      <c r="B799" s="11"/>
      <c r="C799" s="36"/>
    </row>
    <row r="800" spans="1:3" ht="14.25" customHeight="1" x14ac:dyDescent="0.35">
      <c r="A800" s="36"/>
      <c r="B800" s="11"/>
      <c r="C800" s="36"/>
    </row>
    <row r="801" spans="1:3" ht="14.25" customHeight="1" x14ac:dyDescent="0.35">
      <c r="A801" s="36"/>
      <c r="B801" s="11"/>
      <c r="C801" s="36"/>
    </row>
    <row r="802" spans="1:3" ht="14.25" customHeight="1" x14ac:dyDescent="0.35">
      <c r="A802" s="36"/>
      <c r="B802" s="11"/>
      <c r="C802" s="36"/>
    </row>
    <row r="803" spans="1:3" ht="14.25" customHeight="1" x14ac:dyDescent="0.35">
      <c r="A803" s="36"/>
      <c r="B803" s="11"/>
      <c r="C803" s="36"/>
    </row>
    <row r="804" spans="1:3" ht="14.25" customHeight="1" x14ac:dyDescent="0.35">
      <c r="A804" s="36"/>
      <c r="B804" s="11"/>
      <c r="C804" s="36"/>
    </row>
    <row r="805" spans="1:3" ht="14.25" customHeight="1" x14ac:dyDescent="0.35">
      <c r="A805" s="36"/>
      <c r="B805" s="11"/>
      <c r="C805" s="36"/>
    </row>
    <row r="806" spans="1:3" ht="14.25" customHeight="1" x14ac:dyDescent="0.35">
      <c r="A806" s="36"/>
      <c r="B806" s="11"/>
      <c r="C806" s="36"/>
    </row>
    <row r="807" spans="1:3" ht="14.25" customHeight="1" x14ac:dyDescent="0.35">
      <c r="A807" s="36"/>
      <c r="B807" s="11"/>
      <c r="C807" s="36"/>
    </row>
    <row r="808" spans="1:3" ht="14.25" customHeight="1" x14ac:dyDescent="0.35">
      <c r="A808" s="36"/>
      <c r="B808" s="11"/>
      <c r="C808" s="36"/>
    </row>
    <row r="809" spans="1:3" ht="14.25" customHeight="1" x14ac:dyDescent="0.35">
      <c r="A809" s="36"/>
      <c r="B809" s="11"/>
      <c r="C809" s="36"/>
    </row>
    <row r="810" spans="1:3" ht="14.25" customHeight="1" x14ac:dyDescent="0.35">
      <c r="A810" s="36"/>
      <c r="B810" s="11"/>
      <c r="C810" s="36"/>
    </row>
    <row r="811" spans="1:3" ht="14.25" customHeight="1" x14ac:dyDescent="0.35">
      <c r="A811" s="36"/>
      <c r="B811" s="11"/>
      <c r="C811" s="36"/>
    </row>
    <row r="812" spans="1:3" ht="14.25" customHeight="1" x14ac:dyDescent="0.35">
      <c r="A812" s="36"/>
      <c r="B812" s="11"/>
      <c r="C812" s="36"/>
    </row>
    <row r="813" spans="1:3" ht="14.25" customHeight="1" x14ac:dyDescent="0.35">
      <c r="A813" s="36"/>
      <c r="B813" s="11"/>
      <c r="C813" s="36"/>
    </row>
    <row r="814" spans="1:3" ht="14.25" customHeight="1" x14ac:dyDescent="0.35">
      <c r="A814" s="36"/>
      <c r="B814" s="11"/>
      <c r="C814" s="36"/>
    </row>
    <row r="815" spans="1:3" ht="14.25" customHeight="1" x14ac:dyDescent="0.35">
      <c r="A815" s="36"/>
      <c r="B815" s="11"/>
      <c r="C815" s="36"/>
    </row>
    <row r="816" spans="1:3" ht="14.25" customHeight="1" x14ac:dyDescent="0.35">
      <c r="A816" s="36"/>
      <c r="B816" s="11"/>
      <c r="C816" s="36"/>
    </row>
    <row r="817" spans="1:3" ht="14.25" customHeight="1" x14ac:dyDescent="0.35">
      <c r="A817" s="36"/>
      <c r="B817" s="11"/>
      <c r="C817" s="36"/>
    </row>
    <row r="818" spans="1:3" ht="14.25" customHeight="1" x14ac:dyDescent="0.35">
      <c r="A818" s="36"/>
      <c r="B818" s="11"/>
      <c r="C818" s="36"/>
    </row>
    <row r="819" spans="1:3" ht="14.25" customHeight="1" x14ac:dyDescent="0.35">
      <c r="A819" s="36"/>
      <c r="B819" s="11"/>
      <c r="C819" s="36"/>
    </row>
    <row r="820" spans="1:3" ht="14.25" customHeight="1" x14ac:dyDescent="0.35">
      <c r="A820" s="36"/>
      <c r="B820" s="11"/>
      <c r="C820" s="36"/>
    </row>
    <row r="821" spans="1:3" ht="14.25" customHeight="1" x14ac:dyDescent="0.35">
      <c r="A821" s="36"/>
      <c r="B821" s="11"/>
      <c r="C821" s="36"/>
    </row>
    <row r="822" spans="1:3" ht="14.25" customHeight="1" x14ac:dyDescent="0.35">
      <c r="A822" s="36"/>
      <c r="B822" s="11"/>
      <c r="C822" s="36"/>
    </row>
    <row r="823" spans="1:3" ht="14.25" customHeight="1" x14ac:dyDescent="0.35">
      <c r="A823" s="36"/>
      <c r="B823" s="11"/>
      <c r="C823" s="36"/>
    </row>
    <row r="824" spans="1:3" ht="14.25" customHeight="1" x14ac:dyDescent="0.35">
      <c r="A824" s="36"/>
      <c r="B824" s="11"/>
      <c r="C824" s="36"/>
    </row>
    <row r="825" spans="1:3" ht="14.25" customHeight="1" x14ac:dyDescent="0.35">
      <c r="A825" s="36"/>
      <c r="B825" s="11"/>
      <c r="C825" s="36"/>
    </row>
    <row r="826" spans="1:3" ht="14.25" customHeight="1" x14ac:dyDescent="0.35">
      <c r="A826" s="36"/>
      <c r="B826" s="11"/>
      <c r="C826" s="36"/>
    </row>
    <row r="827" spans="1:3" ht="14.25" customHeight="1" x14ac:dyDescent="0.35">
      <c r="A827" s="36"/>
      <c r="B827" s="11"/>
      <c r="C827" s="36"/>
    </row>
    <row r="828" spans="1:3" ht="14.25" customHeight="1" x14ac:dyDescent="0.35">
      <c r="A828" s="36"/>
      <c r="B828" s="11"/>
      <c r="C828" s="36"/>
    </row>
    <row r="829" spans="1:3" ht="14.25" customHeight="1" x14ac:dyDescent="0.35">
      <c r="A829" s="36"/>
      <c r="B829" s="11"/>
      <c r="C829" s="36"/>
    </row>
    <row r="830" spans="1:3" ht="14.25" customHeight="1" x14ac:dyDescent="0.35">
      <c r="A830" s="36"/>
      <c r="B830" s="11"/>
      <c r="C830" s="36"/>
    </row>
    <row r="831" spans="1:3" ht="14.25" customHeight="1" x14ac:dyDescent="0.35">
      <c r="A831" s="36"/>
      <c r="B831" s="11"/>
      <c r="C831" s="36"/>
    </row>
    <row r="832" spans="1:3" ht="14.25" customHeight="1" x14ac:dyDescent="0.35">
      <c r="A832" s="36"/>
      <c r="B832" s="11"/>
      <c r="C832" s="36"/>
    </row>
    <row r="833" spans="1:3" ht="14.25" customHeight="1" x14ac:dyDescent="0.35">
      <c r="A833" s="36"/>
      <c r="B833" s="11"/>
      <c r="C833" s="36"/>
    </row>
    <row r="834" spans="1:3" ht="14.25" customHeight="1" x14ac:dyDescent="0.35">
      <c r="A834" s="36"/>
      <c r="B834" s="11"/>
      <c r="C834" s="36"/>
    </row>
    <row r="835" spans="1:3" ht="14.25" customHeight="1" x14ac:dyDescent="0.35">
      <c r="A835" s="36"/>
      <c r="B835" s="11"/>
      <c r="C835" s="36"/>
    </row>
    <row r="836" spans="1:3" ht="14.25" customHeight="1" x14ac:dyDescent="0.35">
      <c r="A836" s="36"/>
      <c r="B836" s="11"/>
      <c r="C836" s="36"/>
    </row>
    <row r="837" spans="1:3" ht="14.25" customHeight="1" x14ac:dyDescent="0.35">
      <c r="A837" s="36"/>
      <c r="B837" s="11"/>
      <c r="C837" s="36"/>
    </row>
    <row r="838" spans="1:3" ht="14.25" customHeight="1" x14ac:dyDescent="0.35">
      <c r="A838" s="36"/>
      <c r="B838" s="11"/>
      <c r="C838" s="36"/>
    </row>
    <row r="839" spans="1:3" ht="14.25" customHeight="1" x14ac:dyDescent="0.35">
      <c r="A839" s="36"/>
      <c r="B839" s="11"/>
      <c r="C839" s="36"/>
    </row>
    <row r="840" spans="1:3" ht="14.25" customHeight="1" x14ac:dyDescent="0.35">
      <c r="A840" s="36"/>
      <c r="B840" s="11"/>
      <c r="C840" s="36"/>
    </row>
    <row r="841" spans="1:3" ht="14.25" customHeight="1" x14ac:dyDescent="0.35">
      <c r="A841" s="36"/>
      <c r="B841" s="11"/>
      <c r="C841" s="36"/>
    </row>
    <row r="842" spans="1:3" ht="14.25" customHeight="1" x14ac:dyDescent="0.35">
      <c r="A842" s="36"/>
      <c r="B842" s="11"/>
      <c r="C842" s="36"/>
    </row>
    <row r="843" spans="1:3" ht="14.25" customHeight="1" x14ac:dyDescent="0.35">
      <c r="A843" s="36"/>
      <c r="B843" s="11"/>
      <c r="C843" s="36"/>
    </row>
    <row r="844" spans="1:3" ht="14.25" customHeight="1" x14ac:dyDescent="0.35">
      <c r="A844" s="36"/>
      <c r="B844" s="11"/>
      <c r="C844" s="36"/>
    </row>
    <row r="845" spans="1:3" ht="14.25" customHeight="1" x14ac:dyDescent="0.35">
      <c r="A845" s="36"/>
      <c r="B845" s="11"/>
      <c r="C845" s="36"/>
    </row>
    <row r="846" spans="1:3" ht="14.25" customHeight="1" x14ac:dyDescent="0.35">
      <c r="A846" s="36"/>
      <c r="B846" s="11"/>
      <c r="C846" s="36"/>
    </row>
    <row r="847" spans="1:3" ht="14.25" customHeight="1" x14ac:dyDescent="0.35">
      <c r="A847" s="36"/>
      <c r="B847" s="11"/>
      <c r="C847" s="36"/>
    </row>
    <row r="848" spans="1:3" ht="14.25" customHeight="1" x14ac:dyDescent="0.35">
      <c r="A848" s="36"/>
      <c r="B848" s="11"/>
      <c r="C848" s="36"/>
    </row>
    <row r="849" spans="1:3" ht="14.25" customHeight="1" x14ac:dyDescent="0.35">
      <c r="A849" s="36"/>
      <c r="B849" s="11"/>
      <c r="C849" s="36"/>
    </row>
    <row r="850" spans="1:3" ht="14.25" customHeight="1" x14ac:dyDescent="0.35">
      <c r="A850" s="36"/>
      <c r="B850" s="11"/>
      <c r="C850" s="36"/>
    </row>
    <row r="851" spans="1:3" ht="14.25" customHeight="1" x14ac:dyDescent="0.35">
      <c r="A851" s="36"/>
      <c r="B851" s="11"/>
      <c r="C851" s="36"/>
    </row>
    <row r="852" spans="1:3" ht="14.25" customHeight="1" x14ac:dyDescent="0.35">
      <c r="A852" s="36"/>
      <c r="B852" s="11"/>
      <c r="C852" s="36"/>
    </row>
    <row r="853" spans="1:3" ht="14.25" customHeight="1" x14ac:dyDescent="0.35">
      <c r="A853" s="36"/>
      <c r="B853" s="11"/>
      <c r="C853" s="36"/>
    </row>
    <row r="854" spans="1:3" ht="14.25" customHeight="1" x14ac:dyDescent="0.35">
      <c r="A854" s="36"/>
      <c r="B854" s="11"/>
      <c r="C854" s="36"/>
    </row>
    <row r="855" spans="1:3" ht="14.25" customHeight="1" x14ac:dyDescent="0.35">
      <c r="A855" s="36"/>
      <c r="B855" s="11"/>
      <c r="C855" s="36"/>
    </row>
    <row r="856" spans="1:3" ht="14.25" customHeight="1" x14ac:dyDescent="0.35">
      <c r="A856" s="36"/>
      <c r="B856" s="11"/>
      <c r="C856" s="36"/>
    </row>
    <row r="857" spans="1:3" ht="14.25" customHeight="1" x14ac:dyDescent="0.35">
      <c r="A857" s="36"/>
      <c r="B857" s="11"/>
      <c r="C857" s="36"/>
    </row>
    <row r="858" spans="1:3" ht="14.25" customHeight="1" x14ac:dyDescent="0.35">
      <c r="A858" s="36"/>
      <c r="B858" s="11"/>
      <c r="C858" s="36"/>
    </row>
    <row r="859" spans="1:3" ht="14.25" customHeight="1" x14ac:dyDescent="0.35">
      <c r="A859" s="36"/>
      <c r="B859" s="11"/>
      <c r="C859" s="36"/>
    </row>
    <row r="860" spans="1:3" ht="14.25" customHeight="1" x14ac:dyDescent="0.35">
      <c r="A860" s="36"/>
      <c r="B860" s="11"/>
      <c r="C860" s="36"/>
    </row>
    <row r="861" spans="1:3" ht="14.25" customHeight="1" x14ac:dyDescent="0.35">
      <c r="A861" s="36"/>
      <c r="B861" s="11"/>
      <c r="C861" s="36"/>
    </row>
    <row r="862" spans="1:3" ht="14.25" customHeight="1" x14ac:dyDescent="0.35">
      <c r="A862" s="36"/>
      <c r="B862" s="11"/>
      <c r="C862" s="36"/>
    </row>
    <row r="863" spans="1:3" ht="14.25" customHeight="1" x14ac:dyDescent="0.35">
      <c r="A863" s="36"/>
      <c r="B863" s="11"/>
      <c r="C863" s="36"/>
    </row>
    <row r="864" spans="1:3" ht="14.25" customHeight="1" x14ac:dyDescent="0.35">
      <c r="A864" s="36"/>
      <c r="B864" s="11"/>
      <c r="C864" s="36"/>
    </row>
    <row r="865" spans="1:3" ht="14.25" customHeight="1" x14ac:dyDescent="0.35">
      <c r="A865" s="36"/>
      <c r="B865" s="11"/>
      <c r="C865" s="36"/>
    </row>
    <row r="866" spans="1:3" ht="14.25" customHeight="1" x14ac:dyDescent="0.35">
      <c r="A866" s="36"/>
      <c r="B866" s="11"/>
      <c r="C866" s="36"/>
    </row>
    <row r="867" spans="1:3" ht="14.25" customHeight="1" x14ac:dyDescent="0.35">
      <c r="A867" s="36"/>
      <c r="B867" s="11"/>
      <c r="C867" s="36"/>
    </row>
    <row r="868" spans="1:3" ht="14.25" customHeight="1" x14ac:dyDescent="0.35">
      <c r="A868" s="36"/>
      <c r="B868" s="11"/>
      <c r="C868" s="36"/>
    </row>
    <row r="869" spans="1:3" ht="14.25" customHeight="1" x14ac:dyDescent="0.35">
      <c r="A869" s="36"/>
      <c r="B869" s="11"/>
      <c r="C869" s="36"/>
    </row>
    <row r="870" spans="1:3" ht="14.25" customHeight="1" x14ac:dyDescent="0.35">
      <c r="A870" s="36"/>
      <c r="B870" s="11"/>
      <c r="C870" s="36"/>
    </row>
    <row r="871" spans="1:3" ht="14.25" customHeight="1" x14ac:dyDescent="0.35">
      <c r="A871" s="36"/>
      <c r="B871" s="11"/>
      <c r="C871" s="36"/>
    </row>
    <row r="872" spans="1:3" ht="14.25" customHeight="1" x14ac:dyDescent="0.35">
      <c r="A872" s="36"/>
      <c r="B872" s="11"/>
      <c r="C872" s="36"/>
    </row>
    <row r="873" spans="1:3" ht="14.25" customHeight="1" x14ac:dyDescent="0.35">
      <c r="A873" s="36"/>
      <c r="B873" s="11"/>
      <c r="C873" s="36"/>
    </row>
    <row r="874" spans="1:3" ht="14.25" customHeight="1" x14ac:dyDescent="0.35">
      <c r="A874" s="36"/>
      <c r="B874" s="11"/>
      <c r="C874" s="36"/>
    </row>
    <row r="875" spans="1:3" ht="14.25" customHeight="1" x14ac:dyDescent="0.35">
      <c r="A875" s="36"/>
      <c r="B875" s="11"/>
      <c r="C875" s="36"/>
    </row>
    <row r="876" spans="1:3" ht="14.25" customHeight="1" x14ac:dyDescent="0.35">
      <c r="A876" s="36"/>
      <c r="B876" s="11"/>
      <c r="C876" s="36"/>
    </row>
    <row r="877" spans="1:3" ht="14.25" customHeight="1" x14ac:dyDescent="0.35">
      <c r="A877" s="36"/>
      <c r="B877" s="11"/>
      <c r="C877" s="36"/>
    </row>
    <row r="878" spans="1:3" ht="14.25" customHeight="1" x14ac:dyDescent="0.35">
      <c r="A878" s="36"/>
      <c r="B878" s="11"/>
      <c r="C878" s="36"/>
    </row>
    <row r="879" spans="1:3" ht="14.25" customHeight="1" x14ac:dyDescent="0.35">
      <c r="A879" s="36"/>
      <c r="B879" s="11"/>
      <c r="C879" s="36"/>
    </row>
    <row r="880" spans="1:3" ht="14.25" customHeight="1" x14ac:dyDescent="0.35">
      <c r="A880" s="36"/>
      <c r="B880" s="11"/>
      <c r="C880" s="36"/>
    </row>
    <row r="881" spans="1:3" ht="14.25" customHeight="1" x14ac:dyDescent="0.35">
      <c r="A881" s="36"/>
      <c r="B881" s="11"/>
      <c r="C881" s="36"/>
    </row>
    <row r="882" spans="1:3" ht="14.25" customHeight="1" x14ac:dyDescent="0.35">
      <c r="A882" s="36"/>
      <c r="B882" s="11"/>
      <c r="C882" s="36"/>
    </row>
    <row r="883" spans="1:3" ht="14.25" customHeight="1" x14ac:dyDescent="0.35">
      <c r="A883" s="36"/>
      <c r="B883" s="11"/>
      <c r="C883" s="36"/>
    </row>
    <row r="884" spans="1:3" ht="14.25" customHeight="1" x14ac:dyDescent="0.35">
      <c r="A884" s="36"/>
      <c r="B884" s="11"/>
      <c r="C884" s="36"/>
    </row>
    <row r="885" spans="1:3" ht="14.25" customHeight="1" x14ac:dyDescent="0.35">
      <c r="A885" s="36"/>
      <c r="B885" s="11"/>
      <c r="C885" s="36"/>
    </row>
    <row r="886" spans="1:3" ht="14.25" customHeight="1" x14ac:dyDescent="0.35">
      <c r="A886" s="36"/>
      <c r="B886" s="11"/>
      <c r="C886" s="36"/>
    </row>
    <row r="887" spans="1:3" ht="14.25" customHeight="1" x14ac:dyDescent="0.35">
      <c r="A887" s="36"/>
      <c r="B887" s="11"/>
      <c r="C887" s="36"/>
    </row>
    <row r="888" spans="1:3" ht="14.25" customHeight="1" x14ac:dyDescent="0.35">
      <c r="A888" s="36"/>
      <c r="B888" s="11"/>
      <c r="C888" s="36"/>
    </row>
    <row r="889" spans="1:3" ht="14.25" customHeight="1" x14ac:dyDescent="0.35">
      <c r="A889" s="36"/>
      <c r="B889" s="11"/>
      <c r="C889" s="36"/>
    </row>
    <row r="890" spans="1:3" ht="14.25" customHeight="1" x14ac:dyDescent="0.35">
      <c r="A890" s="36"/>
      <c r="B890" s="11"/>
      <c r="C890" s="36"/>
    </row>
    <row r="891" spans="1:3" ht="14.25" customHeight="1" x14ac:dyDescent="0.35">
      <c r="A891" s="36"/>
      <c r="B891" s="11"/>
      <c r="C891" s="36"/>
    </row>
    <row r="892" spans="1:3" ht="14.25" customHeight="1" x14ac:dyDescent="0.35">
      <c r="A892" s="36"/>
      <c r="B892" s="11"/>
      <c r="C892" s="36"/>
    </row>
    <row r="893" spans="1:3" ht="14.25" customHeight="1" x14ac:dyDescent="0.35">
      <c r="A893" s="36"/>
      <c r="B893" s="11"/>
      <c r="C893" s="36"/>
    </row>
    <row r="894" spans="1:3" ht="14.25" customHeight="1" x14ac:dyDescent="0.35">
      <c r="A894" s="36"/>
      <c r="B894" s="11"/>
      <c r="C894" s="36"/>
    </row>
    <row r="895" spans="1:3" ht="14.25" customHeight="1" x14ac:dyDescent="0.35">
      <c r="A895" s="36"/>
      <c r="B895" s="11"/>
      <c r="C895" s="36"/>
    </row>
    <row r="896" spans="1:3" ht="14.25" customHeight="1" x14ac:dyDescent="0.35">
      <c r="A896" s="36"/>
      <c r="B896" s="11"/>
      <c r="C896" s="36"/>
    </row>
    <row r="897" spans="1:3" ht="14.25" customHeight="1" x14ac:dyDescent="0.35">
      <c r="A897" s="36"/>
      <c r="B897" s="11"/>
      <c r="C897" s="36"/>
    </row>
    <row r="898" spans="1:3" ht="14.25" customHeight="1" x14ac:dyDescent="0.35">
      <c r="A898" s="36"/>
      <c r="B898" s="11"/>
      <c r="C898" s="36"/>
    </row>
    <row r="899" spans="1:3" ht="14.25" customHeight="1" x14ac:dyDescent="0.35">
      <c r="A899" s="36"/>
      <c r="B899" s="11"/>
      <c r="C899" s="36"/>
    </row>
    <row r="900" spans="1:3" ht="14.25" customHeight="1" x14ac:dyDescent="0.35">
      <c r="A900" s="36"/>
      <c r="B900" s="11"/>
      <c r="C900" s="36"/>
    </row>
    <row r="901" spans="1:3" ht="14.25" customHeight="1" x14ac:dyDescent="0.35">
      <c r="A901" s="36"/>
      <c r="B901" s="11"/>
      <c r="C901" s="36"/>
    </row>
    <row r="902" spans="1:3" ht="14.25" customHeight="1" x14ac:dyDescent="0.35">
      <c r="A902" s="36"/>
      <c r="B902" s="11"/>
      <c r="C902" s="36"/>
    </row>
    <row r="903" spans="1:3" ht="14.25" customHeight="1" x14ac:dyDescent="0.35">
      <c r="A903" s="36"/>
      <c r="B903" s="11"/>
      <c r="C903" s="36"/>
    </row>
    <row r="904" spans="1:3" ht="14.25" customHeight="1" x14ac:dyDescent="0.35">
      <c r="A904" s="36"/>
      <c r="B904" s="11"/>
      <c r="C904" s="36"/>
    </row>
    <row r="905" spans="1:3" ht="14.25" customHeight="1" x14ac:dyDescent="0.35">
      <c r="A905" s="36"/>
      <c r="B905" s="11"/>
      <c r="C905" s="36"/>
    </row>
    <row r="906" spans="1:3" ht="14.25" customHeight="1" x14ac:dyDescent="0.35">
      <c r="A906" s="36"/>
      <c r="B906" s="11"/>
      <c r="C906" s="36"/>
    </row>
    <row r="907" spans="1:3" ht="14.25" customHeight="1" x14ac:dyDescent="0.35">
      <c r="A907" s="36"/>
      <c r="B907" s="11"/>
      <c r="C907" s="36"/>
    </row>
    <row r="908" spans="1:3" ht="14.25" customHeight="1" x14ac:dyDescent="0.35">
      <c r="A908" s="36"/>
      <c r="B908" s="11"/>
      <c r="C908" s="36"/>
    </row>
    <row r="909" spans="1:3" ht="14.25" customHeight="1" x14ac:dyDescent="0.35">
      <c r="A909" s="36"/>
      <c r="B909" s="11"/>
      <c r="C909" s="36"/>
    </row>
    <row r="910" spans="1:3" ht="14.25" customHeight="1" x14ac:dyDescent="0.35">
      <c r="A910" s="36"/>
      <c r="B910" s="11"/>
      <c r="C910" s="36"/>
    </row>
    <row r="911" spans="1:3" ht="14.25" customHeight="1" x14ac:dyDescent="0.35">
      <c r="A911" s="36"/>
      <c r="B911" s="11"/>
      <c r="C911" s="36"/>
    </row>
    <row r="912" spans="1:3" ht="14.25" customHeight="1" x14ac:dyDescent="0.35">
      <c r="A912" s="36"/>
      <c r="B912" s="11"/>
      <c r="C912" s="36"/>
    </row>
    <row r="913" spans="1:3" ht="14.25" customHeight="1" x14ac:dyDescent="0.35">
      <c r="A913" s="36"/>
      <c r="B913" s="11"/>
      <c r="C913" s="36"/>
    </row>
    <row r="914" spans="1:3" ht="14.25" customHeight="1" x14ac:dyDescent="0.35">
      <c r="A914" s="36"/>
      <c r="B914" s="11"/>
      <c r="C914" s="36"/>
    </row>
    <row r="915" spans="1:3" ht="14.25" customHeight="1" x14ac:dyDescent="0.35">
      <c r="A915" s="36"/>
      <c r="B915" s="11"/>
      <c r="C915" s="36"/>
    </row>
    <row r="916" spans="1:3" ht="14.25" customHeight="1" x14ac:dyDescent="0.35">
      <c r="A916" s="36"/>
      <c r="B916" s="11"/>
      <c r="C916" s="36"/>
    </row>
    <row r="917" spans="1:3" ht="14.25" customHeight="1" x14ac:dyDescent="0.35">
      <c r="A917" s="36"/>
      <c r="B917" s="11"/>
      <c r="C917" s="36"/>
    </row>
    <row r="918" spans="1:3" ht="14.25" customHeight="1" x14ac:dyDescent="0.35">
      <c r="A918" s="36"/>
      <c r="B918" s="11"/>
      <c r="C918" s="36"/>
    </row>
    <row r="919" spans="1:3" ht="14.25" customHeight="1" x14ac:dyDescent="0.35">
      <c r="A919" s="36"/>
      <c r="B919" s="11"/>
      <c r="C919" s="36"/>
    </row>
    <row r="920" spans="1:3" ht="14.25" customHeight="1" x14ac:dyDescent="0.35">
      <c r="A920" s="36"/>
      <c r="B920" s="11"/>
      <c r="C920" s="36"/>
    </row>
    <row r="921" spans="1:3" ht="14.25" customHeight="1" x14ac:dyDescent="0.35">
      <c r="A921" s="36"/>
      <c r="B921" s="11"/>
      <c r="C921" s="36"/>
    </row>
    <row r="922" spans="1:3" ht="14.25" customHeight="1" x14ac:dyDescent="0.35">
      <c r="A922" s="36"/>
      <c r="B922" s="11"/>
      <c r="C922" s="36"/>
    </row>
    <row r="923" spans="1:3" ht="14.25" customHeight="1" x14ac:dyDescent="0.35">
      <c r="A923" s="36"/>
      <c r="B923" s="11"/>
      <c r="C923" s="36"/>
    </row>
    <row r="924" spans="1:3" ht="14.25" customHeight="1" x14ac:dyDescent="0.35">
      <c r="A924" s="36"/>
      <c r="B924" s="11"/>
      <c r="C924" s="36"/>
    </row>
    <row r="925" spans="1:3" ht="14.25" customHeight="1" x14ac:dyDescent="0.35">
      <c r="A925" s="36"/>
      <c r="B925" s="11"/>
      <c r="C925" s="36"/>
    </row>
    <row r="926" spans="1:3" ht="14.25" customHeight="1" x14ac:dyDescent="0.35">
      <c r="A926" s="36"/>
      <c r="B926" s="11"/>
      <c r="C926" s="36"/>
    </row>
    <row r="927" spans="1:3" ht="14.25" customHeight="1" x14ac:dyDescent="0.35">
      <c r="A927" s="36"/>
      <c r="B927" s="11"/>
      <c r="C927" s="36"/>
    </row>
    <row r="928" spans="1:3" ht="14.25" customHeight="1" x14ac:dyDescent="0.35">
      <c r="A928" s="36"/>
      <c r="B928" s="11"/>
      <c r="C928" s="36"/>
    </row>
    <row r="929" spans="1:3" ht="14.25" customHeight="1" x14ac:dyDescent="0.35">
      <c r="A929" s="36"/>
      <c r="B929" s="11"/>
      <c r="C929" s="36"/>
    </row>
    <row r="930" spans="1:3" ht="14.25" customHeight="1" x14ac:dyDescent="0.35">
      <c r="A930" s="36"/>
      <c r="B930" s="11"/>
      <c r="C930" s="36"/>
    </row>
    <row r="931" spans="1:3" ht="14.25" customHeight="1" x14ac:dyDescent="0.35">
      <c r="A931" s="36"/>
      <c r="B931" s="11"/>
      <c r="C931" s="36"/>
    </row>
    <row r="932" spans="1:3" ht="14.25" customHeight="1" x14ac:dyDescent="0.35">
      <c r="A932" s="36"/>
      <c r="B932" s="11"/>
      <c r="C932" s="36"/>
    </row>
    <row r="933" spans="1:3" ht="14.25" customHeight="1" x14ac:dyDescent="0.35">
      <c r="A933" s="36"/>
      <c r="B933" s="11"/>
      <c r="C933" s="36"/>
    </row>
    <row r="934" spans="1:3" ht="14.25" customHeight="1" x14ac:dyDescent="0.35">
      <c r="A934" s="36"/>
      <c r="B934" s="11"/>
      <c r="C934" s="36"/>
    </row>
    <row r="935" spans="1:3" ht="14.25" customHeight="1" x14ac:dyDescent="0.35">
      <c r="A935" s="36"/>
      <c r="B935" s="11"/>
      <c r="C935" s="36"/>
    </row>
    <row r="936" spans="1:3" ht="14.25" customHeight="1" x14ac:dyDescent="0.35">
      <c r="A936" s="36"/>
      <c r="B936" s="11"/>
      <c r="C936" s="36"/>
    </row>
    <row r="937" spans="1:3" ht="14.25" customHeight="1" x14ac:dyDescent="0.35">
      <c r="A937" s="36"/>
      <c r="B937" s="11"/>
      <c r="C937" s="36"/>
    </row>
    <row r="938" spans="1:3" ht="14.25" customHeight="1" x14ac:dyDescent="0.35">
      <c r="A938" s="36"/>
      <c r="B938" s="11"/>
      <c r="C938" s="36"/>
    </row>
    <row r="939" spans="1:3" ht="14.25" customHeight="1" x14ac:dyDescent="0.35">
      <c r="A939" s="36"/>
      <c r="B939" s="11"/>
      <c r="C939" s="36"/>
    </row>
    <row r="940" spans="1:3" ht="14.25" customHeight="1" x14ac:dyDescent="0.35">
      <c r="A940" s="36"/>
      <c r="B940" s="11"/>
      <c r="C940" s="36"/>
    </row>
    <row r="941" spans="1:3" ht="14.25" customHeight="1" x14ac:dyDescent="0.35">
      <c r="A941" s="36"/>
      <c r="B941" s="11"/>
      <c r="C941" s="36"/>
    </row>
    <row r="942" spans="1:3" ht="14.25" customHeight="1" x14ac:dyDescent="0.35">
      <c r="A942" s="36"/>
      <c r="B942" s="11"/>
      <c r="C942" s="36"/>
    </row>
    <row r="943" spans="1:3" ht="14.25" customHeight="1" x14ac:dyDescent="0.35">
      <c r="A943" s="36"/>
      <c r="B943" s="11"/>
      <c r="C943" s="36"/>
    </row>
    <row r="944" spans="1:3" ht="14.25" customHeight="1" x14ac:dyDescent="0.35">
      <c r="A944" s="36"/>
      <c r="B944" s="11"/>
      <c r="C944" s="36"/>
    </row>
    <row r="945" spans="1:3" ht="14.25" customHeight="1" x14ac:dyDescent="0.35">
      <c r="A945" s="36"/>
      <c r="B945" s="11"/>
      <c r="C945" s="36"/>
    </row>
    <row r="946" spans="1:3" ht="14.25" customHeight="1" x14ac:dyDescent="0.35">
      <c r="A946" s="36"/>
      <c r="B946" s="11"/>
      <c r="C946" s="36"/>
    </row>
    <row r="947" spans="1:3" ht="14.25" customHeight="1" x14ac:dyDescent="0.35">
      <c r="A947" s="36"/>
      <c r="B947" s="11"/>
      <c r="C947" s="36"/>
    </row>
    <row r="948" spans="1:3" ht="14.25" customHeight="1" x14ac:dyDescent="0.35">
      <c r="A948" s="36"/>
      <c r="B948" s="11"/>
      <c r="C948" s="36"/>
    </row>
    <row r="949" spans="1:3" ht="14.25" customHeight="1" x14ac:dyDescent="0.35">
      <c r="A949" s="36"/>
      <c r="B949" s="11"/>
      <c r="C949" s="36"/>
    </row>
    <row r="950" spans="1:3" ht="14.25" customHeight="1" x14ac:dyDescent="0.35">
      <c r="A950" s="36"/>
      <c r="B950" s="11"/>
      <c r="C950" s="36"/>
    </row>
    <row r="951" spans="1:3" ht="14.25" customHeight="1" x14ac:dyDescent="0.35">
      <c r="A951" s="36"/>
      <c r="B951" s="11"/>
      <c r="C951" s="36"/>
    </row>
    <row r="952" spans="1:3" ht="14.25" customHeight="1" x14ac:dyDescent="0.35">
      <c r="A952" s="36"/>
      <c r="B952" s="11"/>
      <c r="C952" s="36"/>
    </row>
    <row r="953" spans="1:3" ht="14.25" customHeight="1" x14ac:dyDescent="0.35">
      <c r="A953" s="36"/>
      <c r="B953" s="11"/>
      <c r="C953" s="36"/>
    </row>
    <row r="954" spans="1:3" ht="14.25" customHeight="1" x14ac:dyDescent="0.35">
      <c r="A954" s="36"/>
      <c r="B954" s="11"/>
      <c r="C954" s="36"/>
    </row>
    <row r="955" spans="1:3" ht="14.25" customHeight="1" x14ac:dyDescent="0.35">
      <c r="A955" s="36"/>
      <c r="B955" s="11"/>
      <c r="C955" s="36"/>
    </row>
    <row r="956" spans="1:3" ht="14.25" customHeight="1" x14ac:dyDescent="0.35">
      <c r="A956" s="36"/>
      <c r="B956" s="11"/>
      <c r="C956" s="36"/>
    </row>
    <row r="957" spans="1:3" ht="14.25" customHeight="1" x14ac:dyDescent="0.35">
      <c r="A957" s="36"/>
      <c r="B957" s="11"/>
      <c r="C957" s="36"/>
    </row>
    <row r="958" spans="1:3" ht="14.25" customHeight="1" x14ac:dyDescent="0.35">
      <c r="A958" s="36"/>
      <c r="B958" s="11"/>
      <c r="C958" s="36"/>
    </row>
    <row r="959" spans="1:3" ht="14.25" customHeight="1" x14ac:dyDescent="0.35">
      <c r="A959" s="36"/>
      <c r="B959" s="11"/>
      <c r="C959" s="36"/>
    </row>
    <row r="960" spans="1:3" ht="14.25" customHeight="1" x14ac:dyDescent="0.35">
      <c r="A960" s="36"/>
      <c r="B960" s="11"/>
      <c r="C960" s="36"/>
    </row>
    <row r="961" spans="1:3" ht="14.25" customHeight="1" x14ac:dyDescent="0.35">
      <c r="A961" s="36"/>
      <c r="B961" s="11"/>
      <c r="C961" s="36"/>
    </row>
    <row r="962" spans="1:3" ht="14.25" customHeight="1" x14ac:dyDescent="0.35">
      <c r="A962" s="36"/>
      <c r="B962" s="11"/>
      <c r="C962" s="36"/>
    </row>
    <row r="963" spans="1:3" ht="14.25" customHeight="1" x14ac:dyDescent="0.35">
      <c r="A963" s="36"/>
      <c r="B963" s="11"/>
      <c r="C963" s="36"/>
    </row>
    <row r="964" spans="1:3" ht="14.25" customHeight="1" x14ac:dyDescent="0.35">
      <c r="A964" s="36"/>
      <c r="B964" s="11"/>
      <c r="C964" s="36"/>
    </row>
    <row r="965" spans="1:3" ht="14.25" customHeight="1" x14ac:dyDescent="0.35">
      <c r="A965" s="36"/>
      <c r="B965" s="11"/>
      <c r="C965" s="36"/>
    </row>
    <row r="966" spans="1:3" ht="14.25" customHeight="1" x14ac:dyDescent="0.35">
      <c r="A966" s="36"/>
      <c r="B966" s="11"/>
      <c r="C966" s="36"/>
    </row>
    <row r="967" spans="1:3" ht="14.25" customHeight="1" x14ac:dyDescent="0.35">
      <c r="A967" s="36"/>
      <c r="B967" s="11"/>
      <c r="C967" s="36"/>
    </row>
    <row r="968" spans="1:3" ht="14.25" customHeight="1" x14ac:dyDescent="0.35">
      <c r="A968" s="36"/>
      <c r="B968" s="11"/>
      <c r="C968" s="36"/>
    </row>
    <row r="969" spans="1:3" ht="14.25" customHeight="1" x14ac:dyDescent="0.35">
      <c r="A969" s="36"/>
      <c r="B969" s="11"/>
      <c r="C969" s="36"/>
    </row>
    <row r="970" spans="1:3" ht="14.25" customHeight="1" x14ac:dyDescent="0.35">
      <c r="A970" s="36"/>
      <c r="B970" s="11"/>
      <c r="C970" s="36"/>
    </row>
    <row r="971" spans="1:3" ht="14.25" customHeight="1" x14ac:dyDescent="0.35">
      <c r="A971" s="36"/>
      <c r="B971" s="11"/>
      <c r="C971" s="36"/>
    </row>
    <row r="972" spans="1:3" ht="14.25" customHeight="1" x14ac:dyDescent="0.35">
      <c r="A972" s="36"/>
      <c r="B972" s="11"/>
      <c r="C972" s="36"/>
    </row>
    <row r="973" spans="1:3" ht="14.25" customHeight="1" x14ac:dyDescent="0.35">
      <c r="A973" s="36"/>
      <c r="B973" s="11"/>
      <c r="C973" s="36"/>
    </row>
    <row r="974" spans="1:3" ht="14.25" customHeight="1" x14ac:dyDescent="0.35">
      <c r="A974" s="36"/>
      <c r="B974" s="11"/>
      <c r="C974" s="36"/>
    </row>
    <row r="975" spans="1:3" ht="14.25" customHeight="1" x14ac:dyDescent="0.35">
      <c r="A975" s="36"/>
      <c r="B975" s="11"/>
      <c r="C975" s="36"/>
    </row>
    <row r="976" spans="1:3" ht="14.25" customHeight="1" x14ac:dyDescent="0.35">
      <c r="A976" s="36"/>
      <c r="B976" s="11"/>
      <c r="C976" s="36"/>
    </row>
    <row r="977" spans="1:3" ht="14.25" customHeight="1" x14ac:dyDescent="0.35">
      <c r="A977" s="36"/>
      <c r="B977" s="11"/>
      <c r="C977" s="36"/>
    </row>
    <row r="978" spans="1:3" ht="14.25" customHeight="1" x14ac:dyDescent="0.35">
      <c r="A978" s="36"/>
      <c r="B978" s="11"/>
      <c r="C978" s="36"/>
    </row>
    <row r="979" spans="1:3" ht="14.25" customHeight="1" x14ac:dyDescent="0.35">
      <c r="A979" s="36"/>
      <c r="B979" s="11"/>
      <c r="C979" s="36"/>
    </row>
    <row r="980" spans="1:3" ht="14.25" customHeight="1" x14ac:dyDescent="0.35">
      <c r="A980" s="36"/>
      <c r="B980" s="11"/>
      <c r="C980" s="36"/>
    </row>
    <row r="981" spans="1:3" ht="14.25" customHeight="1" x14ac:dyDescent="0.35">
      <c r="A981" s="36"/>
      <c r="B981" s="11"/>
      <c r="C981" s="36"/>
    </row>
    <row r="982" spans="1:3" ht="14.25" customHeight="1" x14ac:dyDescent="0.35">
      <c r="A982" s="36"/>
      <c r="B982" s="11"/>
      <c r="C982" s="36"/>
    </row>
    <row r="983" spans="1:3" ht="14.25" customHeight="1" x14ac:dyDescent="0.35">
      <c r="A983" s="36"/>
      <c r="B983" s="11"/>
      <c r="C983" s="36"/>
    </row>
    <row r="984" spans="1:3" ht="14.25" customHeight="1" x14ac:dyDescent="0.35">
      <c r="A984" s="36"/>
      <c r="B984" s="11"/>
      <c r="C984" s="36"/>
    </row>
    <row r="985" spans="1:3" ht="14.25" customHeight="1" x14ac:dyDescent="0.35">
      <c r="A985" s="36"/>
      <c r="B985" s="11"/>
      <c r="C985" s="36"/>
    </row>
    <row r="986" spans="1:3" ht="14.25" customHeight="1" x14ac:dyDescent="0.35">
      <c r="A986" s="36"/>
      <c r="B986" s="11"/>
      <c r="C986" s="36"/>
    </row>
    <row r="987" spans="1:3" ht="14.25" customHeight="1" x14ac:dyDescent="0.35">
      <c r="A987" s="36"/>
      <c r="B987" s="11"/>
      <c r="C987" s="36"/>
    </row>
    <row r="988" spans="1:3" ht="14.25" customHeight="1" x14ac:dyDescent="0.35">
      <c r="A988" s="36"/>
      <c r="B988" s="11"/>
      <c r="C988" s="36"/>
    </row>
    <row r="989" spans="1:3" ht="14.25" customHeight="1" x14ac:dyDescent="0.35">
      <c r="A989" s="36"/>
      <c r="B989" s="11"/>
      <c r="C989" s="36"/>
    </row>
    <row r="990" spans="1:3" ht="14.25" customHeight="1" x14ac:dyDescent="0.35">
      <c r="A990" s="36"/>
      <c r="B990" s="11"/>
      <c r="C990" s="36"/>
    </row>
    <row r="991" spans="1:3" ht="14.25" customHeight="1" x14ac:dyDescent="0.35">
      <c r="A991" s="36"/>
      <c r="B991" s="11"/>
      <c r="C991" s="36"/>
    </row>
    <row r="992" spans="1:3" ht="14.25" customHeight="1" x14ac:dyDescent="0.35">
      <c r="A992" s="36"/>
      <c r="B992" s="11"/>
      <c r="C992" s="36"/>
    </row>
    <row r="993" spans="1:3" ht="14.25" customHeight="1" x14ac:dyDescent="0.35">
      <c r="A993" s="36"/>
      <c r="B993" s="11"/>
      <c r="C993" s="36"/>
    </row>
    <row r="994" spans="1:3" ht="14.25" customHeight="1" x14ac:dyDescent="0.35">
      <c r="A994" s="36"/>
      <c r="B994" s="11"/>
      <c r="C994" s="36"/>
    </row>
    <row r="995" spans="1:3" ht="14.25" customHeight="1" x14ac:dyDescent="0.35">
      <c r="A995" s="36"/>
      <c r="B995" s="11"/>
      <c r="C995" s="36"/>
    </row>
    <row r="996" spans="1:3" ht="14.25" customHeight="1" x14ac:dyDescent="0.35">
      <c r="A996" s="36"/>
      <c r="B996" s="11"/>
      <c r="C996" s="36"/>
    </row>
    <row r="997" spans="1:3" ht="14.25" customHeight="1" x14ac:dyDescent="0.35">
      <c r="A997" s="36"/>
      <c r="B997" s="11"/>
      <c r="C997" s="36"/>
    </row>
    <row r="998" spans="1:3" ht="14.25" customHeight="1" x14ac:dyDescent="0.35">
      <c r="A998" s="36"/>
      <c r="B998" s="11"/>
      <c r="C998" s="36"/>
    </row>
    <row r="999" spans="1:3" ht="14.25" customHeight="1" x14ac:dyDescent="0.35">
      <c r="A999" s="36"/>
      <c r="B999" s="11"/>
      <c r="C999" s="36"/>
    </row>
    <row r="1000" spans="1:3" ht="14.25" customHeight="1" x14ac:dyDescent="0.35">
      <c r="A1000" s="36"/>
      <c r="B1000" s="11"/>
      <c r="C1000" s="36"/>
    </row>
    <row r="1001" spans="1:3" ht="14.25" customHeight="1" x14ac:dyDescent="0.35">
      <c r="A1001" s="36"/>
      <c r="B1001" s="11"/>
      <c r="C1001" s="36"/>
    </row>
    <row r="1002" spans="1:3" ht="14.25" customHeight="1" x14ac:dyDescent="0.35">
      <c r="A1002" s="36"/>
      <c r="B1002" s="11"/>
      <c r="C1002" s="36"/>
    </row>
    <row r="1003" spans="1:3" ht="14.25" customHeight="1" x14ac:dyDescent="0.35">
      <c r="A1003" s="36"/>
      <c r="B1003" s="11"/>
      <c r="C1003" s="36"/>
    </row>
    <row r="1004" spans="1:3" ht="14.25" customHeight="1" x14ac:dyDescent="0.35">
      <c r="A1004" s="36"/>
      <c r="B1004" s="11"/>
      <c r="C1004" s="36"/>
    </row>
    <row r="1005" spans="1:3" ht="14.25" customHeight="1" x14ac:dyDescent="0.35">
      <c r="A1005" s="36"/>
      <c r="B1005" s="11"/>
      <c r="C1005" s="36"/>
    </row>
    <row r="1006" spans="1:3" ht="14.25" customHeight="1" x14ac:dyDescent="0.35">
      <c r="A1006" s="36"/>
      <c r="B1006" s="11"/>
      <c r="C1006" s="36"/>
    </row>
    <row r="1007" spans="1:3" ht="14.25" customHeight="1" x14ac:dyDescent="0.35">
      <c r="A1007" s="36"/>
      <c r="B1007" s="11"/>
      <c r="C1007" s="36"/>
    </row>
    <row r="1008" spans="1:3" ht="14.25" customHeight="1" x14ac:dyDescent="0.35">
      <c r="A1008" s="36"/>
      <c r="B1008" s="11"/>
      <c r="C1008" s="36"/>
    </row>
    <row r="1009" spans="1:3" ht="14.25" customHeight="1" x14ac:dyDescent="0.35">
      <c r="A1009" s="36"/>
      <c r="B1009" s="11"/>
      <c r="C1009" s="36"/>
    </row>
    <row r="1010" spans="1:3" ht="14.25" customHeight="1" x14ac:dyDescent="0.35">
      <c r="A1010" s="36"/>
      <c r="B1010" s="11"/>
      <c r="C1010" s="36"/>
    </row>
    <row r="1011" spans="1:3" ht="14.25" customHeight="1" x14ac:dyDescent="0.35">
      <c r="A1011" s="36"/>
      <c r="B1011" s="11"/>
      <c r="C1011" s="36"/>
    </row>
    <row r="1012" spans="1:3" ht="14.25" customHeight="1" x14ac:dyDescent="0.35">
      <c r="A1012" s="36"/>
      <c r="B1012" s="11"/>
      <c r="C1012" s="36"/>
    </row>
    <row r="1013" spans="1:3" ht="14.25" customHeight="1" x14ac:dyDescent="0.35">
      <c r="A1013" s="36"/>
      <c r="B1013" s="11"/>
      <c r="C1013" s="36"/>
    </row>
    <row r="1014" spans="1:3" ht="14.25" customHeight="1" x14ac:dyDescent="0.35">
      <c r="A1014" s="36"/>
      <c r="B1014" s="11"/>
      <c r="C1014" s="36"/>
    </row>
    <row r="1015" spans="1:3" ht="14.25" customHeight="1" x14ac:dyDescent="0.35">
      <c r="A1015" s="36"/>
      <c r="B1015" s="11"/>
      <c r="C1015" s="36"/>
    </row>
    <row r="1016" spans="1:3" ht="14.25" customHeight="1" x14ac:dyDescent="0.35">
      <c r="A1016" s="36"/>
      <c r="B1016" s="11"/>
      <c r="C1016" s="36"/>
    </row>
    <row r="1017" spans="1:3" ht="14.25" customHeight="1" x14ac:dyDescent="0.35">
      <c r="A1017" s="36"/>
      <c r="B1017" s="11"/>
      <c r="C1017" s="36"/>
    </row>
    <row r="1018" spans="1:3" ht="14.25" customHeight="1" x14ac:dyDescent="0.35">
      <c r="A1018" s="36"/>
      <c r="B1018" s="11"/>
      <c r="C1018" s="36"/>
    </row>
    <row r="1019" spans="1:3" ht="14.25" customHeight="1" x14ac:dyDescent="0.35">
      <c r="A1019" s="36"/>
      <c r="B1019" s="11"/>
      <c r="C1019" s="36"/>
    </row>
    <row r="1020" spans="1:3" ht="14.25" customHeight="1" x14ac:dyDescent="0.35">
      <c r="A1020" s="36"/>
      <c r="B1020" s="11"/>
      <c r="C1020" s="36"/>
    </row>
    <row r="1021" spans="1:3" ht="14.25" customHeight="1" x14ac:dyDescent="0.35">
      <c r="A1021" s="36"/>
      <c r="B1021" s="11"/>
      <c r="C1021" s="36"/>
    </row>
    <row r="1022" spans="1:3" ht="14.25" customHeight="1" x14ac:dyDescent="0.35">
      <c r="A1022" s="36"/>
      <c r="B1022" s="11"/>
      <c r="C1022" s="36"/>
    </row>
    <row r="1023" spans="1:3" ht="14.25" customHeight="1" x14ac:dyDescent="0.35">
      <c r="A1023" s="36"/>
      <c r="B1023" s="11"/>
      <c r="C1023" s="36"/>
    </row>
    <row r="1024" spans="1:3" ht="14.25" customHeight="1" x14ac:dyDescent="0.35">
      <c r="A1024" s="36"/>
      <c r="B1024" s="11"/>
      <c r="C1024" s="36"/>
    </row>
    <row r="1025" spans="1:3" ht="14.25" customHeight="1" x14ac:dyDescent="0.35">
      <c r="A1025" s="36"/>
      <c r="B1025" s="11"/>
      <c r="C1025" s="36"/>
    </row>
    <row r="1026" spans="1:3" ht="14.25" customHeight="1" x14ac:dyDescent="0.35">
      <c r="A1026" s="36"/>
      <c r="B1026" s="11"/>
      <c r="C1026" s="36"/>
    </row>
    <row r="1027" spans="1:3" ht="14.25" customHeight="1" x14ac:dyDescent="0.35">
      <c r="A1027" s="36"/>
      <c r="B1027" s="11"/>
      <c r="C1027" s="36"/>
    </row>
    <row r="1028" spans="1:3" ht="14.25" customHeight="1" x14ac:dyDescent="0.35">
      <c r="A1028" s="36"/>
      <c r="B1028" s="11"/>
      <c r="C1028" s="36"/>
    </row>
    <row r="1029" spans="1:3" ht="14.25" customHeight="1" x14ac:dyDescent="0.35">
      <c r="A1029" s="36"/>
      <c r="B1029" s="11"/>
      <c r="C1029" s="36"/>
    </row>
    <row r="1030" spans="1:3" ht="14.25" customHeight="1" x14ac:dyDescent="0.35">
      <c r="A1030" s="36"/>
      <c r="B1030" s="11"/>
      <c r="C1030" s="36"/>
    </row>
    <row r="1031" spans="1:3" ht="14.25" customHeight="1" x14ac:dyDescent="0.35">
      <c r="A1031" s="36"/>
      <c r="B1031" s="11"/>
      <c r="C1031" s="36"/>
    </row>
    <row r="1032" spans="1:3" ht="14.25" customHeight="1" x14ac:dyDescent="0.35">
      <c r="A1032" s="36"/>
      <c r="B1032" s="11"/>
      <c r="C1032" s="36"/>
    </row>
    <row r="1033" spans="1:3" ht="14.25" customHeight="1" x14ac:dyDescent="0.35">
      <c r="A1033" s="36"/>
      <c r="B1033" s="11"/>
      <c r="C1033" s="36"/>
    </row>
    <row r="1034" spans="1:3" ht="14.25" customHeight="1" x14ac:dyDescent="0.35">
      <c r="A1034" s="36"/>
      <c r="B1034" s="11"/>
      <c r="C1034" s="36"/>
    </row>
    <row r="1035" spans="1:3" ht="14.25" customHeight="1" x14ac:dyDescent="0.35">
      <c r="A1035" s="36"/>
      <c r="B1035" s="11"/>
      <c r="C1035" s="36"/>
    </row>
    <row r="1036" spans="1:3" ht="14.25" customHeight="1" x14ac:dyDescent="0.35">
      <c r="A1036" s="36"/>
      <c r="B1036" s="11"/>
      <c r="C1036" s="36"/>
    </row>
    <row r="1037" spans="1:3" ht="14.25" customHeight="1" x14ac:dyDescent="0.35">
      <c r="A1037" s="36"/>
      <c r="B1037" s="11"/>
      <c r="C1037" s="36"/>
    </row>
    <row r="1038" spans="1:3" ht="14.25" customHeight="1" x14ac:dyDescent="0.35">
      <c r="A1038" s="36"/>
      <c r="B1038" s="11"/>
      <c r="C1038" s="36"/>
    </row>
    <row r="1039" spans="1:3" ht="14.25" customHeight="1" x14ac:dyDescent="0.35">
      <c r="A1039" s="36"/>
      <c r="B1039" s="11"/>
      <c r="C1039" s="36"/>
    </row>
    <row r="1040" spans="1:3" ht="14.25" customHeight="1" x14ac:dyDescent="0.35">
      <c r="A1040" s="36"/>
      <c r="B1040" s="11"/>
      <c r="C1040" s="36"/>
    </row>
    <row r="1041" spans="1:3" ht="14.25" customHeight="1" x14ac:dyDescent="0.35">
      <c r="A1041" s="36"/>
      <c r="B1041" s="11"/>
      <c r="C1041" s="36"/>
    </row>
    <row r="1042" spans="1:3" ht="14.25" customHeight="1" x14ac:dyDescent="0.35">
      <c r="A1042" s="36"/>
      <c r="B1042" s="11"/>
      <c r="C1042" s="36"/>
    </row>
    <row r="1043" spans="1:3" ht="14.25" customHeight="1" x14ac:dyDescent="0.35">
      <c r="A1043" s="36"/>
      <c r="B1043" s="11"/>
      <c r="C1043" s="36"/>
    </row>
    <row r="1044" spans="1:3" ht="14.25" customHeight="1" x14ac:dyDescent="0.35">
      <c r="A1044" s="36"/>
      <c r="B1044" s="11"/>
      <c r="C1044" s="36"/>
    </row>
    <row r="1045" spans="1:3" ht="14.25" customHeight="1" x14ac:dyDescent="0.35">
      <c r="A1045" s="36"/>
      <c r="B1045" s="11"/>
      <c r="C1045" s="36"/>
    </row>
    <row r="1046" spans="1:3" ht="14.25" customHeight="1" x14ac:dyDescent="0.35">
      <c r="A1046" s="36"/>
      <c r="B1046" s="11"/>
      <c r="C1046" s="36"/>
    </row>
    <row r="1047" spans="1:3" ht="14.25" customHeight="1" x14ac:dyDescent="0.35">
      <c r="A1047" s="36"/>
      <c r="B1047" s="11"/>
      <c r="C1047" s="36"/>
    </row>
    <row r="1048" spans="1:3" ht="14.25" customHeight="1" x14ac:dyDescent="0.35">
      <c r="A1048" s="36"/>
      <c r="B1048" s="11"/>
      <c r="C1048" s="36"/>
    </row>
    <row r="1049" spans="1:3" ht="14.25" customHeight="1" x14ac:dyDescent="0.35">
      <c r="A1049" s="36"/>
      <c r="B1049" s="11"/>
      <c r="C1049" s="36"/>
    </row>
    <row r="1050" spans="1:3" ht="14.25" customHeight="1" x14ac:dyDescent="0.35">
      <c r="A1050" s="36"/>
      <c r="B1050" s="11"/>
      <c r="C1050" s="36"/>
    </row>
    <row r="1051" spans="1:3" ht="14.25" customHeight="1" x14ac:dyDescent="0.35">
      <c r="A1051" s="36"/>
      <c r="B1051" s="11"/>
      <c r="C1051" s="36"/>
    </row>
    <row r="1052" spans="1:3" ht="14.25" customHeight="1" x14ac:dyDescent="0.35">
      <c r="A1052" s="36"/>
      <c r="B1052" s="11"/>
      <c r="C1052" s="36"/>
    </row>
    <row r="1053" spans="1:3" ht="14.25" customHeight="1" x14ac:dyDescent="0.35">
      <c r="A1053" s="36"/>
      <c r="B1053" s="11"/>
      <c r="C1053" s="36"/>
    </row>
    <row r="1054" spans="1:3" ht="14.25" customHeight="1" x14ac:dyDescent="0.35">
      <c r="A1054" s="36"/>
      <c r="B1054" s="11"/>
      <c r="C1054" s="36"/>
    </row>
    <row r="1055" spans="1:3" ht="14.25" customHeight="1" x14ac:dyDescent="0.35">
      <c r="A1055" s="36"/>
      <c r="B1055" s="11"/>
      <c r="C1055" s="36"/>
    </row>
    <row r="1056" spans="1:3" ht="14.25" customHeight="1" x14ac:dyDescent="0.35">
      <c r="A1056" s="36"/>
      <c r="B1056" s="11"/>
      <c r="C1056" s="36"/>
    </row>
    <row r="1057" spans="1:3" ht="14.25" customHeight="1" x14ac:dyDescent="0.35">
      <c r="A1057" s="36"/>
      <c r="B1057" s="11"/>
      <c r="C1057" s="36"/>
    </row>
    <row r="1058" spans="1:3" ht="14.25" customHeight="1" x14ac:dyDescent="0.35">
      <c r="A1058" s="36"/>
      <c r="B1058" s="11"/>
      <c r="C1058" s="36"/>
    </row>
    <row r="1059" spans="1:3" ht="14.25" customHeight="1" x14ac:dyDescent="0.35">
      <c r="A1059" s="36"/>
      <c r="B1059" s="11"/>
      <c r="C1059" s="36"/>
    </row>
    <row r="1060" spans="1:3" ht="14.25" customHeight="1" x14ac:dyDescent="0.35">
      <c r="A1060" s="36"/>
      <c r="B1060" s="11"/>
      <c r="C1060" s="36"/>
    </row>
    <row r="1061" spans="1:3" ht="14.25" customHeight="1" x14ac:dyDescent="0.35">
      <c r="A1061" s="36"/>
      <c r="B1061" s="11"/>
      <c r="C1061" s="36"/>
    </row>
    <row r="1062" spans="1:3" ht="14.25" customHeight="1" x14ac:dyDescent="0.35">
      <c r="A1062" s="36"/>
      <c r="B1062" s="11"/>
      <c r="C1062" s="36"/>
    </row>
    <row r="1063" spans="1:3" ht="14.25" customHeight="1" x14ac:dyDescent="0.35">
      <c r="A1063" s="36"/>
      <c r="B1063" s="11"/>
      <c r="C1063" s="36"/>
    </row>
    <row r="1064" spans="1:3" ht="14.25" customHeight="1" x14ac:dyDescent="0.35">
      <c r="A1064" s="36"/>
      <c r="B1064" s="11"/>
      <c r="C1064" s="36"/>
    </row>
    <row r="1065" spans="1:3" ht="14.25" customHeight="1" x14ac:dyDescent="0.35">
      <c r="A1065" s="36"/>
      <c r="B1065" s="11"/>
      <c r="C1065" s="36"/>
    </row>
    <row r="1066" spans="1:3" ht="14.25" customHeight="1" x14ac:dyDescent="0.35">
      <c r="A1066" s="36"/>
      <c r="B1066" s="11"/>
      <c r="C1066" s="36"/>
    </row>
    <row r="1067" spans="1:3" ht="14.25" customHeight="1" x14ac:dyDescent="0.35">
      <c r="A1067" s="36"/>
      <c r="B1067" s="11"/>
      <c r="C1067" s="36"/>
    </row>
    <row r="1068" spans="1:3" ht="14.25" customHeight="1" x14ac:dyDescent="0.35">
      <c r="A1068" s="36"/>
      <c r="B1068" s="11"/>
      <c r="C1068" s="36"/>
    </row>
    <row r="1069" spans="1:3" ht="14.25" customHeight="1" x14ac:dyDescent="0.35">
      <c r="A1069" s="36"/>
      <c r="B1069" s="11"/>
      <c r="C1069" s="36"/>
    </row>
    <row r="1070" spans="1:3" ht="14.25" customHeight="1" x14ac:dyDescent="0.35">
      <c r="A1070" s="36"/>
      <c r="B1070" s="11"/>
      <c r="C1070" s="36"/>
    </row>
    <row r="1071" spans="1:3" ht="14.25" customHeight="1" x14ac:dyDescent="0.35">
      <c r="A1071" s="36"/>
      <c r="B1071" s="11"/>
      <c r="C1071" s="36"/>
    </row>
    <row r="1072" spans="1:3" ht="14.25" customHeight="1" x14ac:dyDescent="0.35">
      <c r="A1072" s="36"/>
      <c r="B1072" s="11"/>
      <c r="C1072" s="36"/>
    </row>
    <row r="1073" spans="1:3" ht="14.25" customHeight="1" x14ac:dyDescent="0.35">
      <c r="A1073" s="36"/>
      <c r="B1073" s="11"/>
      <c r="C1073" s="36"/>
    </row>
    <row r="1074" spans="1:3" ht="14.25" customHeight="1" x14ac:dyDescent="0.35">
      <c r="A1074" s="36"/>
      <c r="B1074" s="11"/>
      <c r="C1074" s="36"/>
    </row>
    <row r="1075" spans="1:3" ht="14.25" customHeight="1" x14ac:dyDescent="0.35">
      <c r="A1075" s="36"/>
      <c r="B1075" s="11"/>
      <c r="C1075" s="36"/>
    </row>
    <row r="1076" spans="1:3" ht="14.25" customHeight="1" x14ac:dyDescent="0.35">
      <c r="A1076" s="36"/>
      <c r="B1076" s="11"/>
      <c r="C1076" s="36"/>
    </row>
    <row r="1077" spans="1:3" ht="14.25" customHeight="1" x14ac:dyDescent="0.35">
      <c r="A1077" s="36"/>
      <c r="B1077" s="11"/>
      <c r="C1077" s="36"/>
    </row>
    <row r="1078" spans="1:3" ht="14.25" customHeight="1" x14ac:dyDescent="0.35">
      <c r="A1078" s="36"/>
      <c r="B1078" s="11"/>
      <c r="C1078" s="36"/>
    </row>
    <row r="1079" spans="1:3" ht="14.25" customHeight="1" x14ac:dyDescent="0.35">
      <c r="A1079" s="36"/>
      <c r="B1079" s="11"/>
      <c r="C1079" s="36"/>
    </row>
    <row r="1080" spans="1:3" ht="14.25" customHeight="1" x14ac:dyDescent="0.35">
      <c r="A1080" s="36"/>
      <c r="B1080" s="11"/>
      <c r="C1080" s="36"/>
    </row>
    <row r="1081" spans="1:3" ht="14.25" customHeight="1" x14ac:dyDescent="0.35">
      <c r="A1081" s="36"/>
      <c r="B1081" s="11"/>
      <c r="C1081" s="36"/>
    </row>
    <row r="1082" spans="1:3" ht="14.25" customHeight="1" x14ac:dyDescent="0.35">
      <c r="A1082" s="36"/>
      <c r="B1082" s="11"/>
      <c r="C1082" s="36"/>
    </row>
    <row r="1083" spans="1:3" ht="14.25" customHeight="1" x14ac:dyDescent="0.35">
      <c r="A1083" s="36"/>
      <c r="B1083" s="11"/>
      <c r="C1083" s="36"/>
    </row>
    <row r="1084" spans="1:3" ht="14.25" customHeight="1" x14ac:dyDescent="0.35">
      <c r="A1084" s="36"/>
      <c r="B1084" s="11"/>
      <c r="C1084" s="36"/>
    </row>
    <row r="1085" spans="1:3" ht="14.25" customHeight="1" x14ac:dyDescent="0.35">
      <c r="A1085" s="36"/>
      <c r="B1085" s="11"/>
      <c r="C1085" s="36"/>
    </row>
    <row r="1086" spans="1:3" ht="14.25" customHeight="1" x14ac:dyDescent="0.35">
      <c r="A1086" s="36"/>
      <c r="B1086" s="11"/>
      <c r="C1086" s="36"/>
    </row>
    <row r="1087" spans="1:3" ht="14.25" customHeight="1" x14ac:dyDescent="0.35">
      <c r="A1087" s="36"/>
      <c r="B1087" s="11"/>
      <c r="C1087" s="36"/>
    </row>
    <row r="1088" spans="1:3" ht="14.25" customHeight="1" x14ac:dyDescent="0.35">
      <c r="A1088" s="36"/>
      <c r="B1088" s="11"/>
      <c r="C1088" s="36"/>
    </row>
    <row r="1089" spans="1:3" ht="14.25" customHeight="1" x14ac:dyDescent="0.35">
      <c r="A1089" s="36"/>
      <c r="B1089" s="11"/>
      <c r="C1089" s="36"/>
    </row>
    <row r="1090" spans="1:3" ht="14.25" customHeight="1" x14ac:dyDescent="0.35">
      <c r="A1090" s="36"/>
      <c r="B1090" s="11"/>
      <c r="C1090" s="36"/>
    </row>
    <row r="1091" spans="1:3" ht="14.25" customHeight="1" x14ac:dyDescent="0.35">
      <c r="A1091" s="36"/>
      <c r="B1091" s="11"/>
      <c r="C1091" s="36"/>
    </row>
    <row r="1092" spans="1:3" ht="14.25" customHeight="1" x14ac:dyDescent="0.35">
      <c r="A1092" s="36"/>
      <c r="B1092" s="11"/>
      <c r="C1092" s="36"/>
    </row>
    <row r="1093" spans="1:3" ht="14.25" customHeight="1" x14ac:dyDescent="0.35">
      <c r="A1093" s="36"/>
      <c r="B1093" s="11"/>
      <c r="C1093" s="36"/>
    </row>
    <row r="1094" spans="1:3" ht="14.25" customHeight="1" x14ac:dyDescent="0.35">
      <c r="A1094" s="36"/>
      <c r="B1094" s="11"/>
      <c r="C1094" s="36"/>
    </row>
    <row r="1095" spans="1:3" ht="14.25" customHeight="1" x14ac:dyDescent="0.35">
      <c r="A1095" s="36"/>
      <c r="B1095" s="11"/>
      <c r="C1095" s="36"/>
    </row>
    <row r="1096" spans="1:3" ht="14.25" customHeight="1" x14ac:dyDescent="0.35">
      <c r="A1096" s="36"/>
      <c r="B1096" s="11"/>
      <c r="C1096" s="36"/>
    </row>
    <row r="1097" spans="1:3" ht="14.25" customHeight="1" x14ac:dyDescent="0.35">
      <c r="A1097" s="36"/>
      <c r="B1097" s="11"/>
      <c r="C1097" s="36"/>
    </row>
    <row r="1098" spans="1:3" ht="14.25" customHeight="1" x14ac:dyDescent="0.35">
      <c r="A1098" s="36"/>
      <c r="B1098" s="11"/>
      <c r="C1098" s="36"/>
    </row>
    <row r="1099" spans="1:3" ht="14.25" customHeight="1" x14ac:dyDescent="0.35">
      <c r="A1099" s="36"/>
      <c r="B1099" s="11"/>
      <c r="C1099" s="36"/>
    </row>
    <row r="1100" spans="1:3" ht="14.25" customHeight="1" x14ac:dyDescent="0.35">
      <c r="A1100" s="36"/>
      <c r="B1100" s="11"/>
      <c r="C1100" s="36"/>
    </row>
    <row r="1101" spans="1:3" ht="14.25" customHeight="1" x14ac:dyDescent="0.35">
      <c r="A1101" s="36"/>
      <c r="B1101" s="11"/>
      <c r="C1101" s="36"/>
    </row>
    <row r="1102" spans="1:3" ht="14.25" customHeight="1" x14ac:dyDescent="0.35">
      <c r="A1102" s="36"/>
      <c r="B1102" s="11"/>
      <c r="C1102" s="36"/>
    </row>
    <row r="1103" spans="1:3" ht="14.25" customHeight="1" x14ac:dyDescent="0.35">
      <c r="A1103" s="36"/>
      <c r="B1103" s="11"/>
      <c r="C1103" s="36"/>
    </row>
    <row r="1104" spans="1:3" ht="14.25" customHeight="1" x14ac:dyDescent="0.35">
      <c r="A1104" s="36"/>
      <c r="B1104" s="11"/>
      <c r="C1104" s="36"/>
    </row>
    <row r="1105" spans="1:3" ht="14.25" customHeight="1" x14ac:dyDescent="0.35">
      <c r="A1105" s="36"/>
      <c r="B1105" s="11"/>
      <c r="C1105" s="36"/>
    </row>
    <row r="1106" spans="1:3" ht="14.25" customHeight="1" x14ac:dyDescent="0.35">
      <c r="A1106" s="36"/>
      <c r="B1106" s="11"/>
      <c r="C1106" s="36"/>
    </row>
    <row r="1107" spans="1:3" ht="14.25" customHeight="1" x14ac:dyDescent="0.35">
      <c r="A1107" s="36"/>
      <c r="B1107" s="11"/>
      <c r="C1107" s="36"/>
    </row>
    <row r="1108" spans="1:3" ht="14.25" customHeight="1" x14ac:dyDescent="0.35">
      <c r="A1108" s="36"/>
      <c r="B1108" s="11"/>
      <c r="C1108" s="36"/>
    </row>
    <row r="1109" spans="1:3" ht="14.25" customHeight="1" x14ac:dyDescent="0.35">
      <c r="A1109" s="36"/>
      <c r="B1109" s="11"/>
      <c r="C1109" s="36"/>
    </row>
  </sheetData>
  <pageMargins left="0.7" right="0.7" top="0.75" bottom="0.75"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4.453125" defaultRowHeight="15" customHeight="1"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C74"/>
  <sheetViews>
    <sheetView workbookViewId="0">
      <selection activeCell="B9" sqref="B9"/>
    </sheetView>
  </sheetViews>
  <sheetFormatPr defaultColWidth="14.453125" defaultRowHeight="15" customHeight="1" x14ac:dyDescent="0.35"/>
  <cols>
    <col min="1" max="1" width="26.81640625" customWidth="1"/>
    <col min="2" max="2" width="100.453125" customWidth="1"/>
    <col min="3" max="3" width="39.81640625" customWidth="1"/>
  </cols>
  <sheetData>
    <row r="2" spans="1:3" ht="14.5" x14ac:dyDescent="0.35">
      <c r="A2" s="36" t="s">
        <v>77</v>
      </c>
      <c r="B2" s="3" t="s">
        <v>78</v>
      </c>
      <c r="C2" s="36" t="s">
        <v>296</v>
      </c>
    </row>
    <row r="3" spans="1:3" ht="14.5" x14ac:dyDescent="0.35">
      <c r="A3" s="37" t="s">
        <v>297</v>
      </c>
      <c r="B3" s="3" t="s">
        <v>71</v>
      </c>
      <c r="C3" s="36" t="s">
        <v>298</v>
      </c>
    </row>
    <row r="4" spans="1:3" ht="14.5" x14ac:dyDescent="0.35">
      <c r="A4" s="36" t="s">
        <v>38</v>
      </c>
      <c r="B4" s="3" t="s">
        <v>39</v>
      </c>
      <c r="C4" s="36" t="s">
        <v>299</v>
      </c>
    </row>
    <row r="5" spans="1:3" ht="14.5" x14ac:dyDescent="0.35">
      <c r="A5" s="36" t="s">
        <v>300</v>
      </c>
      <c r="B5" s="36" t="s">
        <v>301</v>
      </c>
    </row>
    <row r="6" spans="1:3" ht="14.5" x14ac:dyDescent="0.35">
      <c r="A6" s="36" t="s">
        <v>120</v>
      </c>
      <c r="B6" s="11" t="s">
        <v>121</v>
      </c>
      <c r="C6" s="36" t="s">
        <v>302</v>
      </c>
    </row>
    <row r="7" spans="1:3" ht="14.5" x14ac:dyDescent="0.35">
      <c r="A7" s="36" t="s">
        <v>58</v>
      </c>
      <c r="B7" s="3" t="s">
        <v>59</v>
      </c>
      <c r="C7" s="36" t="s">
        <v>303</v>
      </c>
    </row>
    <row r="8" spans="1:3" ht="14.5" x14ac:dyDescent="0.35">
      <c r="A8" s="36" t="s">
        <v>56</v>
      </c>
      <c r="B8" s="3" t="s">
        <v>57</v>
      </c>
    </row>
    <row r="9" spans="1:3" ht="14.5" x14ac:dyDescent="0.35">
      <c r="A9" s="36" t="s">
        <v>40</v>
      </c>
    </row>
    <row r="10" spans="1:3" ht="14.5" x14ac:dyDescent="0.35">
      <c r="A10" s="36" t="s">
        <v>118</v>
      </c>
    </row>
    <row r="11" spans="1:3" ht="14.5" x14ac:dyDescent="0.35">
      <c r="A11" s="36" t="s">
        <v>30</v>
      </c>
      <c r="B11" s="36" t="s">
        <v>304</v>
      </c>
    </row>
    <row r="12" spans="1:3" ht="14.5" x14ac:dyDescent="0.35">
      <c r="A12" s="36" t="s">
        <v>28</v>
      </c>
      <c r="B12" s="36" t="s">
        <v>305</v>
      </c>
    </row>
    <row r="13" spans="1:3" ht="14.5" x14ac:dyDescent="0.35">
      <c r="A13" s="36" t="s">
        <v>42</v>
      </c>
      <c r="B13" s="36" t="s">
        <v>306</v>
      </c>
    </row>
    <row r="14" spans="1:3" ht="14.5" x14ac:dyDescent="0.35">
      <c r="A14" s="36" t="s">
        <v>9</v>
      </c>
      <c r="B14" s="36" t="s">
        <v>307</v>
      </c>
    </row>
    <row r="15" spans="1:3" ht="14.5" x14ac:dyDescent="0.35">
      <c r="A15" s="36" t="s">
        <v>308</v>
      </c>
      <c r="B15" s="36" t="s">
        <v>309</v>
      </c>
    </row>
    <row r="16" spans="1:3" ht="14.5" x14ac:dyDescent="0.35">
      <c r="A16" s="36" t="s">
        <v>61</v>
      </c>
      <c r="B16" s="36" t="s">
        <v>310</v>
      </c>
    </row>
    <row r="17" spans="1:2" ht="14.5" x14ac:dyDescent="0.35">
      <c r="A17" s="36" t="s">
        <v>73</v>
      </c>
      <c r="B17" s="36" t="s">
        <v>311</v>
      </c>
    </row>
    <row r="18" spans="1:2" ht="14.5" x14ac:dyDescent="0.35">
      <c r="A18" s="36" t="s">
        <v>312</v>
      </c>
      <c r="B18" s="36" t="s">
        <v>313</v>
      </c>
    </row>
    <row r="19" spans="1:2" ht="14.5" x14ac:dyDescent="0.35">
      <c r="A19" s="36" t="s">
        <v>146</v>
      </c>
      <c r="B19" s="36" t="s">
        <v>314</v>
      </c>
    </row>
    <row r="20" spans="1:2" ht="14.5" x14ac:dyDescent="0.35">
      <c r="A20" s="36" t="s">
        <v>22</v>
      </c>
      <c r="B20" s="36" t="s">
        <v>315</v>
      </c>
    </row>
    <row r="21" spans="1:2" ht="15" customHeight="1" x14ac:dyDescent="0.55000000000000004">
      <c r="A21" s="36" t="s">
        <v>110</v>
      </c>
      <c r="B21" s="4" t="s">
        <v>316</v>
      </c>
    </row>
    <row r="22" spans="1:2" ht="14.5" x14ac:dyDescent="0.35">
      <c r="A22" s="36" t="s">
        <v>122</v>
      </c>
      <c r="B22" s="36" t="s">
        <v>317</v>
      </c>
    </row>
    <row r="23" spans="1:2" ht="14.5" x14ac:dyDescent="0.35">
      <c r="A23" s="36" t="s">
        <v>150</v>
      </c>
      <c r="B23" s="36" t="s">
        <v>318</v>
      </c>
    </row>
    <row r="24" spans="1:2" ht="16.5" x14ac:dyDescent="0.55000000000000004">
      <c r="A24" s="36" t="s">
        <v>5</v>
      </c>
      <c r="B24" s="4" t="s">
        <v>319</v>
      </c>
    </row>
    <row r="25" spans="1:2" ht="29" x14ac:dyDescent="0.35">
      <c r="A25" s="36" t="s">
        <v>188</v>
      </c>
      <c r="B25" s="3" t="s">
        <v>33</v>
      </c>
    </row>
    <row r="26" spans="1:2" ht="14.5" x14ac:dyDescent="0.35">
      <c r="A26" s="36" t="s">
        <v>20</v>
      </c>
      <c r="B26" s="38" t="s">
        <v>21</v>
      </c>
    </row>
    <row r="27" spans="1:2" ht="14.5" x14ac:dyDescent="0.35">
      <c r="A27" s="36" t="s">
        <v>26</v>
      </c>
      <c r="B27" s="3" t="s">
        <v>27</v>
      </c>
    </row>
    <row r="28" spans="1:2" ht="14.5" x14ac:dyDescent="0.35">
      <c r="A28" s="36" t="s">
        <v>54</v>
      </c>
      <c r="B28" s="36" t="s">
        <v>320</v>
      </c>
    </row>
    <row r="29" spans="1:2" ht="14.5" x14ac:dyDescent="0.35">
      <c r="A29" s="36" t="s">
        <v>79</v>
      </c>
      <c r="B29" s="36" t="s">
        <v>321</v>
      </c>
    </row>
    <row r="30" spans="1:2" ht="14.5" x14ac:dyDescent="0.35">
      <c r="A30" s="36" t="s">
        <v>83</v>
      </c>
      <c r="B30" s="3" t="s">
        <v>84</v>
      </c>
    </row>
    <row r="31" spans="1:2" ht="14.5" x14ac:dyDescent="0.35">
      <c r="A31" s="36" t="s">
        <v>89</v>
      </c>
      <c r="B31" s="3" t="s">
        <v>90</v>
      </c>
    </row>
    <row r="32" spans="1:2" ht="14.5" x14ac:dyDescent="0.35">
      <c r="A32" s="36" t="s">
        <v>108</v>
      </c>
      <c r="B32" s="36" t="s">
        <v>322</v>
      </c>
    </row>
    <row r="33" spans="1:3" ht="14.5" x14ac:dyDescent="0.35">
      <c r="A33" s="36" t="s">
        <v>114</v>
      </c>
      <c r="B33" s="3" t="s">
        <v>323</v>
      </c>
    </row>
    <row r="34" spans="1:3" ht="14.5" x14ac:dyDescent="0.35">
      <c r="A34" s="36" t="s">
        <v>116</v>
      </c>
      <c r="B34" s="3" t="s">
        <v>117</v>
      </c>
    </row>
    <row r="35" spans="1:3" ht="14.5" x14ac:dyDescent="0.35">
      <c r="A35" s="36" t="s">
        <v>128</v>
      </c>
      <c r="B35" s="36" t="s">
        <v>324</v>
      </c>
    </row>
    <row r="36" spans="1:3" ht="14.5" x14ac:dyDescent="0.35">
      <c r="A36" s="36" t="s">
        <v>48</v>
      </c>
      <c r="B36" s="36" t="s">
        <v>325</v>
      </c>
    </row>
    <row r="37" spans="1:3" ht="14.5" x14ac:dyDescent="0.35">
      <c r="A37" s="36" t="s">
        <v>102</v>
      </c>
      <c r="B37" s="36" t="s">
        <v>326</v>
      </c>
    </row>
    <row r="38" spans="1:3" ht="14.5" x14ac:dyDescent="0.35">
      <c r="A38" s="36" t="s">
        <v>104</v>
      </c>
      <c r="B38" s="16" t="s">
        <v>327</v>
      </c>
    </row>
    <row r="39" spans="1:3" ht="14.5" x14ac:dyDescent="0.35">
      <c r="A39" s="36" t="s">
        <v>134</v>
      </c>
      <c r="B39" s="36" t="s">
        <v>328</v>
      </c>
    </row>
    <row r="40" spans="1:3" ht="14.5" x14ac:dyDescent="0.35">
      <c r="A40" s="36" t="s">
        <v>136</v>
      </c>
      <c r="B40" s="36" t="s">
        <v>329</v>
      </c>
    </row>
    <row r="41" spans="1:3" ht="14.5" x14ac:dyDescent="0.35">
      <c r="A41" s="36" t="s">
        <v>142</v>
      </c>
      <c r="B41" s="36" t="s">
        <v>330</v>
      </c>
    </row>
    <row r="42" spans="1:3" ht="14.5" x14ac:dyDescent="0.35">
      <c r="A42" s="36" t="s">
        <v>138</v>
      </c>
      <c r="B42" s="36" t="s">
        <v>331</v>
      </c>
    </row>
    <row r="43" spans="1:3" ht="14.5" x14ac:dyDescent="0.35">
      <c r="A43" s="36" t="s">
        <v>140</v>
      </c>
      <c r="B43" s="36" t="s">
        <v>332</v>
      </c>
    </row>
    <row r="44" spans="1:3" ht="14.5" x14ac:dyDescent="0.35">
      <c r="A44" s="36" t="s">
        <v>113</v>
      </c>
      <c r="B44" s="36" t="s">
        <v>333</v>
      </c>
    </row>
    <row r="45" spans="1:3" ht="14.5" x14ac:dyDescent="0.35">
      <c r="A45" s="36" t="s">
        <v>16</v>
      </c>
      <c r="B45" s="3" t="s">
        <v>17</v>
      </c>
      <c r="C45" s="36" t="s">
        <v>334</v>
      </c>
    </row>
    <row r="46" spans="1:3" ht="14.5" x14ac:dyDescent="0.35">
      <c r="A46" s="36" t="s">
        <v>70</v>
      </c>
      <c r="B46" s="3" t="s">
        <v>71</v>
      </c>
    </row>
    <row r="47" spans="1:3" ht="14.5" x14ac:dyDescent="0.35">
      <c r="A47" s="36" t="s">
        <v>68</v>
      </c>
      <c r="B47" s="36" t="s">
        <v>335</v>
      </c>
    </row>
    <row r="48" spans="1:3" ht="14.5" x14ac:dyDescent="0.35">
      <c r="A48" s="36" t="s">
        <v>87</v>
      </c>
      <c r="B48" s="3" t="s">
        <v>88</v>
      </c>
    </row>
    <row r="49" spans="1:3" ht="14.5" x14ac:dyDescent="0.35">
      <c r="A49" s="36" t="s">
        <v>336</v>
      </c>
      <c r="B49" s="36" t="s">
        <v>337</v>
      </c>
    </row>
    <row r="50" spans="1:3" ht="14.5" x14ac:dyDescent="0.35">
      <c r="A50" s="36" t="s">
        <v>18</v>
      </c>
      <c r="B50" s="3" t="s">
        <v>19</v>
      </c>
    </row>
    <row r="51" spans="1:3" ht="14.5" x14ac:dyDescent="0.35">
      <c r="A51" s="36" t="s">
        <v>81</v>
      </c>
      <c r="B51" s="3" t="s">
        <v>82</v>
      </c>
      <c r="C51" s="36" t="s">
        <v>338</v>
      </c>
    </row>
    <row r="52" spans="1:3" ht="29" x14ac:dyDescent="0.35">
      <c r="A52" s="36" t="s">
        <v>106</v>
      </c>
      <c r="B52" s="3" t="s">
        <v>107</v>
      </c>
      <c r="C52" s="36" t="s">
        <v>339</v>
      </c>
    </row>
    <row r="53" spans="1:3" ht="14.5" x14ac:dyDescent="0.35">
      <c r="A53" s="36" t="s">
        <v>14</v>
      </c>
      <c r="B53" s="3" t="s">
        <v>15</v>
      </c>
    </row>
    <row r="54" spans="1:3" ht="14.5" x14ac:dyDescent="0.35">
      <c r="A54" s="36" t="s">
        <v>12</v>
      </c>
      <c r="B54" s="36" t="s">
        <v>340</v>
      </c>
    </row>
    <row r="55" spans="1:3" ht="29" x14ac:dyDescent="0.35">
      <c r="A55" s="36" t="s">
        <v>341</v>
      </c>
      <c r="B55" s="3" t="s">
        <v>25</v>
      </c>
      <c r="C55" s="36" t="s">
        <v>342</v>
      </c>
    </row>
    <row r="56" spans="1:3" ht="14.5" x14ac:dyDescent="0.35">
      <c r="A56" s="36" t="s">
        <v>343</v>
      </c>
      <c r="B56" s="3" t="s">
        <v>149</v>
      </c>
      <c r="C56" s="36" t="s">
        <v>344</v>
      </c>
    </row>
    <row r="57" spans="1:3" ht="14.5" x14ac:dyDescent="0.35">
      <c r="A57" s="36" t="s">
        <v>345</v>
      </c>
      <c r="B57" s="3" t="s">
        <v>4</v>
      </c>
      <c r="C57" s="36" t="s">
        <v>346</v>
      </c>
    </row>
    <row r="58" spans="1:3" ht="14.5" x14ac:dyDescent="0.35">
      <c r="A58" s="36" t="s">
        <v>124</v>
      </c>
      <c r="B58" s="3" t="s">
        <v>125</v>
      </c>
      <c r="C58" s="36" t="s">
        <v>347</v>
      </c>
    </row>
    <row r="59" spans="1:3" ht="14.5" x14ac:dyDescent="0.35">
      <c r="A59" s="36" t="s">
        <v>126</v>
      </c>
      <c r="B59" s="36" t="s">
        <v>348</v>
      </c>
    </row>
    <row r="60" spans="1:3" ht="14.5" x14ac:dyDescent="0.35">
      <c r="A60" s="36" t="s">
        <v>91</v>
      </c>
      <c r="B60" s="3" t="s">
        <v>92</v>
      </c>
    </row>
    <row r="61" spans="1:3" ht="14.5" x14ac:dyDescent="0.35">
      <c r="A61" s="36" t="s">
        <v>96</v>
      </c>
      <c r="B61" s="3" t="s">
        <v>349</v>
      </c>
    </row>
    <row r="62" spans="1:3" ht="14.5" x14ac:dyDescent="0.35">
      <c r="A62" s="36" t="s">
        <v>93</v>
      </c>
      <c r="B62" s="3" t="s">
        <v>97</v>
      </c>
    </row>
    <row r="63" spans="1:3" ht="14.5" x14ac:dyDescent="0.35">
      <c r="A63" s="36" t="s">
        <v>94</v>
      </c>
      <c r="B63" s="3" t="s">
        <v>95</v>
      </c>
    </row>
    <row r="64" spans="1:3" ht="14.5" x14ac:dyDescent="0.35">
      <c r="A64" s="36" t="s">
        <v>85</v>
      </c>
      <c r="B64" s="3" t="s">
        <v>86</v>
      </c>
    </row>
    <row r="65" spans="1:3" ht="14.5" x14ac:dyDescent="0.35">
      <c r="A65" s="36" t="s">
        <v>130</v>
      </c>
      <c r="B65" s="3" t="s">
        <v>131</v>
      </c>
      <c r="C65" s="36" t="s">
        <v>350</v>
      </c>
    </row>
    <row r="66" spans="1:3" ht="14.5" x14ac:dyDescent="0.35">
      <c r="A66" s="36" t="s">
        <v>46</v>
      </c>
      <c r="B66" s="3" t="s">
        <v>47</v>
      </c>
      <c r="C66" s="36" t="s">
        <v>351</v>
      </c>
    </row>
    <row r="67" spans="1:3" ht="14.5" x14ac:dyDescent="0.35">
      <c r="A67" s="36" t="s">
        <v>98</v>
      </c>
      <c r="B67" s="3" t="s">
        <v>99</v>
      </c>
      <c r="C67" s="36" t="s">
        <v>352</v>
      </c>
    </row>
    <row r="68" spans="1:3" ht="14.5" x14ac:dyDescent="0.35">
      <c r="A68" s="36" t="s">
        <v>100</v>
      </c>
      <c r="B68" s="3" t="s">
        <v>101</v>
      </c>
    </row>
    <row r="69" spans="1:3" ht="14.5" x14ac:dyDescent="0.35">
      <c r="A69" s="36" t="s">
        <v>75</v>
      </c>
      <c r="B69" s="3" t="s">
        <v>76</v>
      </c>
      <c r="C69" s="36" t="s">
        <v>353</v>
      </c>
    </row>
    <row r="70" spans="1:3" ht="14.5" x14ac:dyDescent="0.35">
      <c r="A70" s="36" t="s">
        <v>7</v>
      </c>
      <c r="B70" s="3" t="s">
        <v>8</v>
      </c>
      <c r="C70" s="36" t="s">
        <v>354</v>
      </c>
    </row>
    <row r="71" spans="1:3" ht="14.5" x14ac:dyDescent="0.35">
      <c r="A71" s="36" t="s">
        <v>355</v>
      </c>
      <c r="B71" s="3" t="s">
        <v>145</v>
      </c>
      <c r="C71" s="36" t="s">
        <v>356</v>
      </c>
    </row>
    <row r="72" spans="1:3" ht="14.5" x14ac:dyDescent="0.35">
      <c r="A72" s="36" t="s">
        <v>50</v>
      </c>
      <c r="B72" s="11" t="s">
        <v>51</v>
      </c>
      <c r="C72" s="36" t="s">
        <v>357</v>
      </c>
    </row>
    <row r="73" spans="1:3" ht="14.5" x14ac:dyDescent="0.35">
      <c r="A73" s="36" t="s">
        <v>132</v>
      </c>
      <c r="B73" s="3" t="s">
        <v>133</v>
      </c>
      <c r="C73" s="36" t="s">
        <v>358</v>
      </c>
    </row>
    <row r="74" spans="1:3" ht="14.5" x14ac:dyDescent="0.35">
      <c r="A74" s="36" t="s">
        <v>52</v>
      </c>
      <c r="B74" s="3" t="s">
        <v>53</v>
      </c>
      <c r="C74" s="36" t="s">
        <v>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LoanStats</vt:lpstr>
      <vt:lpstr>RejectStats</vt:lpstr>
      <vt:lpstr>browseNotes</vt:lpstr>
      <vt:lpstr>Sheet4</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fatikha naila nur sasabilah</cp:lastModifiedBy>
  <dcterms:created xsi:type="dcterms:W3CDTF">2013-01-15T22:13:28Z</dcterms:created>
  <dcterms:modified xsi:type="dcterms:W3CDTF">2026-02-03T11:10:53Z</dcterms:modified>
</cp:coreProperties>
</file>